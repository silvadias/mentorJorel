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270" yWindow="555" windowWidth="15975" windowHeight="6345" tabRatio="926"/>
  </bookViews>
  <sheets>
    <sheet name="Português" sheetId="8" r:id="rId1"/>
    <sheet name="Raciocínio Lógico Matemático" sheetId="9" r:id="rId2"/>
    <sheet name="Legislação Aplicada à Ebserh" sheetId="10" r:id="rId3"/>
    <sheet name="Legislação Aplicada ao SUS" sheetId="11" r:id="rId4"/>
    <sheet name="Conhecimentos Específicos" sheetId="12" r:id="rId5"/>
    <sheet name="Edital Detalhado" sheetId="2" r:id="rId6"/>
    <sheet name="Linguagens Programação" sheetId="7" r:id="rId7"/>
    <sheet name="Estatística para Estudo Focado" sheetId="13" r:id="rId8"/>
    <sheet name="Plano de Estudo" sheetId="1" r:id="rId9"/>
    <sheet name="Controle" sheetId="3" r:id="rId10"/>
    <sheet name="Ciclo de Revisão" sheetId="4" r:id="rId11"/>
    <sheet name="Ciclo Semanal" sheetId="5" r:id="rId12"/>
    <sheet name="Como Usar" sheetId="6" r:id="rId13"/>
  </sheets>
  <definedNames>
    <definedName name="_xlnm._FilterDatabase" localSheetId="8" hidden="1">'Plano de Estudo'!$A$4:$O$71</definedName>
    <definedName name="_xlnm.Print_Titles" localSheetId="8">'Plano de Estudo'!$1:$4</definedName>
  </definedNames>
  <calcPr calcId="125725"/>
</workbook>
</file>

<file path=xl/calcChain.xml><?xml version="1.0" encoding="utf-8"?>
<calcChain xmlns="http://schemas.openxmlformats.org/spreadsheetml/2006/main">
  <c r="F70" i="4"/>
  <c r="E70"/>
  <c r="D70"/>
  <c r="F69"/>
  <c r="E69"/>
  <c r="D69"/>
  <c r="F68"/>
  <c r="E68"/>
  <c r="D68"/>
  <c r="F67"/>
  <c r="E67"/>
  <c r="D67"/>
  <c r="F66"/>
  <c r="E66"/>
  <c r="D66"/>
  <c r="F65"/>
  <c r="E65"/>
  <c r="D65"/>
  <c r="F64"/>
  <c r="E64"/>
  <c r="D64"/>
  <c r="F63"/>
  <c r="E63"/>
  <c r="D63"/>
  <c r="F62"/>
  <c r="E62"/>
  <c r="D62"/>
  <c r="F61"/>
  <c r="E61"/>
  <c r="D61"/>
  <c r="F60"/>
  <c r="E60"/>
  <c r="D60"/>
  <c r="F59"/>
  <c r="E59"/>
  <c r="D59"/>
  <c r="F58"/>
  <c r="E58"/>
  <c r="D58"/>
  <c r="F57"/>
  <c r="E57"/>
  <c r="D57"/>
  <c r="F56"/>
  <c r="E56"/>
  <c r="D56"/>
  <c r="F55"/>
  <c r="E55"/>
  <c r="D55"/>
  <c r="F54"/>
  <c r="E54"/>
  <c r="D54"/>
  <c r="F53"/>
  <c r="E53"/>
  <c r="D53"/>
  <c r="F52"/>
  <c r="E52"/>
  <c r="D52"/>
  <c r="F51"/>
  <c r="E51"/>
  <c r="D51"/>
  <c r="F50"/>
  <c r="E50"/>
  <c r="D50"/>
  <c r="F49"/>
  <c r="E49"/>
  <c r="D49"/>
  <c r="F48"/>
  <c r="E48"/>
  <c r="D48"/>
  <c r="F47"/>
  <c r="E47"/>
  <c r="D47"/>
  <c r="F46"/>
  <c r="E46"/>
  <c r="D46"/>
  <c r="F45"/>
  <c r="E45"/>
  <c r="D45"/>
  <c r="F44"/>
  <c r="E44"/>
  <c r="D44"/>
  <c r="F43"/>
  <c r="E43"/>
  <c r="D43"/>
  <c r="F42"/>
  <c r="E42"/>
  <c r="D42"/>
  <c r="F41"/>
  <c r="E41"/>
  <c r="D41"/>
  <c r="F40"/>
  <c r="E40"/>
  <c r="D40"/>
  <c r="F39"/>
  <c r="E39"/>
  <c r="D39"/>
  <c r="F38"/>
  <c r="E38"/>
  <c r="D38"/>
  <c r="F37"/>
  <c r="E37"/>
  <c r="D37"/>
  <c r="F36"/>
  <c r="E36"/>
  <c r="D36"/>
  <c r="F35"/>
  <c r="E35"/>
  <c r="D35"/>
  <c r="F34"/>
  <c r="E34"/>
  <c r="D34"/>
  <c r="F33"/>
  <c r="E33"/>
  <c r="D33"/>
  <c r="F32"/>
  <c r="E32"/>
  <c r="D32"/>
  <c r="F31"/>
  <c r="E31"/>
  <c r="D31"/>
  <c r="F30"/>
  <c r="E30"/>
  <c r="D30"/>
  <c r="F29"/>
  <c r="E29"/>
  <c r="D29"/>
  <c r="F28"/>
  <c r="E28"/>
  <c r="D28"/>
  <c r="F27"/>
  <c r="E27"/>
  <c r="D27"/>
  <c r="F26"/>
  <c r="E26"/>
  <c r="D26"/>
  <c r="F25"/>
  <c r="E25"/>
  <c r="D25"/>
  <c r="F24"/>
  <c r="E24"/>
  <c r="D24"/>
  <c r="F23"/>
  <c r="E23"/>
  <c r="D23"/>
  <c r="F22"/>
  <c r="E22"/>
  <c r="D22"/>
  <c r="F21"/>
  <c r="E21"/>
  <c r="D21"/>
  <c r="F20"/>
  <c r="E20"/>
  <c r="D20"/>
  <c r="F19"/>
  <c r="E19"/>
  <c r="D19"/>
  <c r="F18"/>
  <c r="E18"/>
  <c r="D18"/>
  <c r="F17"/>
  <c r="E17"/>
  <c r="D17"/>
  <c r="F16"/>
  <c r="E16"/>
  <c r="D16"/>
  <c r="F15"/>
  <c r="E15"/>
  <c r="D15"/>
  <c r="F14"/>
  <c r="E14"/>
  <c r="D14"/>
  <c r="F13"/>
  <c r="E13"/>
  <c r="D13"/>
  <c r="F12"/>
  <c r="E12"/>
  <c r="D12"/>
  <c r="F11"/>
  <c r="E11"/>
  <c r="D11"/>
  <c r="F10"/>
  <c r="E10"/>
  <c r="D10"/>
  <c r="F9"/>
  <c r="E9"/>
  <c r="D9"/>
  <c r="F8"/>
  <c r="E8"/>
  <c r="D8"/>
  <c r="F7"/>
  <c r="E7"/>
  <c r="D7"/>
  <c r="F6"/>
  <c r="E6"/>
  <c r="D6"/>
  <c r="F5"/>
  <c r="E5"/>
  <c r="D5"/>
  <c r="F4"/>
  <c r="E4"/>
  <c r="D4"/>
  <c r="H12" i="3"/>
  <c r="I12" s="1"/>
  <c r="F12"/>
  <c r="E12"/>
  <c r="H11"/>
  <c r="I11" s="1"/>
  <c r="F11"/>
  <c r="E11"/>
  <c r="B11"/>
  <c r="H10"/>
  <c r="I10" s="1"/>
  <c r="F10"/>
  <c r="E10"/>
  <c r="B10"/>
  <c r="H9"/>
  <c r="I9" s="1"/>
  <c r="F9"/>
  <c r="E9"/>
  <c r="B9"/>
  <c r="H8"/>
  <c r="I8" s="1"/>
  <c r="F8"/>
  <c r="E8"/>
  <c r="H7"/>
  <c r="I7" s="1"/>
  <c r="F7"/>
  <c r="E7"/>
  <c r="B7"/>
  <c r="H6"/>
  <c r="I6" s="1"/>
  <c r="F6"/>
  <c r="E6"/>
  <c r="B6"/>
  <c r="H5"/>
  <c r="I5" s="1"/>
  <c r="F5"/>
  <c r="E5"/>
  <c r="B5"/>
  <c r="B4"/>
  <c r="B3"/>
  <c r="O71" i="1"/>
  <c r="L71"/>
  <c r="O70"/>
  <c r="L70"/>
  <c r="O69"/>
  <c r="L69"/>
  <c r="O68"/>
  <c r="L68"/>
  <c r="O67"/>
  <c r="L67"/>
  <c r="O66"/>
  <c r="L66"/>
  <c r="O65"/>
  <c r="L65"/>
  <c r="O64"/>
  <c r="L64"/>
  <c r="G12" i="3" s="1"/>
  <c r="O63" i="1"/>
  <c r="L63"/>
  <c r="O62"/>
  <c r="L62"/>
  <c r="O61"/>
  <c r="L61"/>
  <c r="O60"/>
  <c r="L60"/>
  <c r="O59"/>
  <c r="L59"/>
  <c r="O58"/>
  <c r="L58"/>
  <c r="O57"/>
  <c r="L57"/>
  <c r="O56"/>
  <c r="L56"/>
  <c r="O55"/>
  <c r="L55"/>
  <c r="O54"/>
  <c r="L54"/>
  <c r="G11" i="3" s="1"/>
  <c r="O53" i="1"/>
  <c r="L53"/>
  <c r="O52"/>
  <c r="L52"/>
  <c r="O51"/>
  <c r="L51"/>
  <c r="O50"/>
  <c r="L50"/>
  <c r="O49"/>
  <c r="L49"/>
  <c r="O48"/>
  <c r="L48"/>
  <c r="O47"/>
  <c r="L47"/>
  <c r="O46"/>
  <c r="L46"/>
  <c r="O45"/>
  <c r="L45"/>
  <c r="O44"/>
  <c r="L44"/>
  <c r="O43"/>
  <c r="L43"/>
  <c r="O42"/>
  <c r="L42"/>
  <c r="O41"/>
  <c r="L41"/>
  <c r="G10" i="3" s="1"/>
  <c r="O40" i="1"/>
  <c r="L40"/>
  <c r="O39"/>
  <c r="L39"/>
  <c r="O38"/>
  <c r="L38"/>
  <c r="O37"/>
  <c r="L37"/>
  <c r="O36"/>
  <c r="L36"/>
  <c r="O35"/>
  <c r="L35"/>
  <c r="O34"/>
  <c r="L34"/>
  <c r="O33"/>
  <c r="L33"/>
  <c r="O32"/>
  <c r="L32"/>
  <c r="O31"/>
  <c r="L31"/>
  <c r="O30"/>
  <c r="L30"/>
  <c r="O29"/>
  <c r="L29"/>
  <c r="G9" i="3" s="1"/>
  <c r="O28" i="1"/>
  <c r="L28"/>
  <c r="O27"/>
  <c r="L27"/>
  <c r="O26"/>
  <c r="L26"/>
  <c r="O25"/>
  <c r="L25"/>
  <c r="O24"/>
  <c r="L24"/>
  <c r="G8" i="3" s="1"/>
  <c r="O23" i="1"/>
  <c r="L23"/>
  <c r="O22"/>
  <c r="L22"/>
  <c r="O21"/>
  <c r="L21"/>
  <c r="O20"/>
  <c r="L20"/>
  <c r="G7" i="3" s="1"/>
  <c r="O19" i="1"/>
  <c r="L19"/>
  <c r="O18"/>
  <c r="L18"/>
  <c r="O17"/>
  <c r="L17"/>
  <c r="O16"/>
  <c r="L16"/>
  <c r="O15"/>
  <c r="L15"/>
  <c r="G6" i="3" s="1"/>
  <c r="O14" i="1"/>
  <c r="L14"/>
  <c r="O13"/>
  <c r="L13"/>
  <c r="O12"/>
  <c r="L12"/>
  <c r="O11"/>
  <c r="L11"/>
  <c r="O10"/>
  <c r="L10"/>
  <c r="O9"/>
  <c r="L9"/>
  <c r="O8"/>
  <c r="L8"/>
  <c r="O7"/>
  <c r="L7"/>
  <c r="O6"/>
  <c r="L6"/>
  <c r="O5"/>
  <c r="L5"/>
  <c r="B8" i="3" s="1"/>
  <c r="G5" l="1"/>
</calcChain>
</file>

<file path=xl/sharedStrings.xml><?xml version="1.0" encoding="utf-8"?>
<sst xmlns="http://schemas.openxmlformats.org/spreadsheetml/2006/main" count="2785" uniqueCount="759">
  <si>
    <t>PLANO DE ESTUDOS — ANALISTA DE T.I. (DESENVOLVIMENTO) | EBSERH</t>
  </si>
  <si>
    <t>Planilha estruturada a partir da grade de conteúdo fornecida, com desmembramento por assunto e checklist de execução.</t>
  </si>
  <si>
    <t>ID</t>
  </si>
  <si>
    <t>Bloco</t>
  </si>
  <si>
    <t>Disciplina</t>
  </si>
  <si>
    <t>Título do edital</t>
  </si>
  <si>
    <t>O que estudar</t>
  </si>
  <si>
    <t>Checklist de estudo</t>
  </si>
  <si>
    <t>Prioridade</t>
  </si>
  <si>
    <t>Status</t>
  </si>
  <si>
    <t>Teoria (h)</t>
  </si>
  <si>
    <t>Questões (h)</t>
  </si>
  <si>
    <t>Revisão (h)</t>
  </si>
  <si>
    <t>Total (h)</t>
  </si>
  <si>
    <t>Questões feitas</t>
  </si>
  <si>
    <t>Acertos</t>
  </si>
  <si>
    <t>% Acerto</t>
  </si>
  <si>
    <t>Conhecimentos Básicos</t>
  </si>
  <si>
    <t>Língua Portuguesa</t>
  </si>
  <si>
    <t>Compreensão e interpretação de textos</t>
  </si>
  <si>
    <t>Tema, ideia principal e secundária; informações explícitas e implícitas; inferência; finalidade e ponto de vista.</t>
  </si>
  <si>
    <t>Teoria + questões de interpretação + revisão dos erros</t>
  </si>
  <si>
    <t>Alta</t>
  </si>
  <si>
    <t>Não iniciado</t>
  </si>
  <si>
    <t>Tipologia e gêneros textuais</t>
  </si>
  <si>
    <t>Narração, descrição, dissertação/exposição, argumentação, injunção; características e finalidade dos gêneros.</t>
  </si>
  <si>
    <t>Resumo comparativo + questões</t>
  </si>
  <si>
    <t>Média</t>
  </si>
  <si>
    <t>Ortografia oficial</t>
  </si>
  <si>
    <t>Emprego de letras; hífen; grafias oficiais; palavras homônimas/parônimas; acordo ortográfico.</t>
  </si>
  <si>
    <t>Mapa de regras + questões</t>
  </si>
  <si>
    <t>Acentuação</t>
  </si>
  <si>
    <t>Oxítonas, paroxítonas e proparoxítonas; hiatos; ditongos; regras especiais e exceções.</t>
  </si>
  <si>
    <t>Quadro de regras + questões</t>
  </si>
  <si>
    <t>Classes de palavras</t>
  </si>
  <si>
    <t>Substantivo, adjetivo, artigo, pronome, numeral, verbo, advérbio, preposição, conjunção e interjeição; funções e emprego.</t>
  </si>
  <si>
    <t>Teoria + identificação em textos + questões</t>
  </si>
  <si>
    <t>Crase</t>
  </si>
  <si>
    <t>Casos obrigatórios, proibidos e facultativos; teste da substituição; locuções e casos especiais.</t>
  </si>
  <si>
    <t>Lista de regras + questões</t>
  </si>
  <si>
    <t>Sintaxe da oração e do período</t>
  </si>
  <si>
    <t>Termos essenciais, integrantes e acessórios; coordenação e subordinação; orações reduzidas; funções sintáticas.</t>
  </si>
  <si>
    <t>Análise sintática + questões</t>
  </si>
  <si>
    <t>Concordância nominal e verbal</t>
  </si>
  <si>
    <t>Regras gerais; sujeito composto; porcentagens; expressões partitivas; verbos impessoais; casos especiais.</t>
  </si>
  <si>
    <t>Tabela de regras + questões</t>
  </si>
  <si>
    <t>Regência nominal e verbal</t>
  </si>
  <si>
    <t>Preposições exigidas; verbos de regência recorrente; mudança de sentido; regência e crase.</t>
  </si>
  <si>
    <t>Tabela de regências + questões</t>
  </si>
  <si>
    <t>Pontuação</t>
  </si>
  <si>
    <t>Vírgula; ponto e vírgula; dois-pontos; travessão; parênteses; emprego da vírgula em orações e termos.</t>
  </si>
  <si>
    <t>Regras + questões de correção</t>
  </si>
  <si>
    <t>Raciocínio Lógico-Matemático</t>
  </si>
  <si>
    <t>Estruturas lógicas e lógica de argumentação</t>
  </si>
  <si>
    <t>Premissas, conclusão, validade, equivalência, negação e identificação de argumentos.</t>
  </si>
  <si>
    <t>Teoria + exercícios</t>
  </si>
  <si>
    <t>Conectivos e proposições simples/compostas</t>
  </si>
  <si>
    <t>Proposição; negação; conjunção; disjunção; condicional; bicondicional; tabelas-verdade; equivalências.</t>
  </si>
  <si>
    <t>Montar tabelas-verdade + questões</t>
  </si>
  <si>
    <t>Diagramas lógicos</t>
  </si>
  <si>
    <t>Representação de relações entre conjuntos e proposições; leitura e interpretação de diagramas.</t>
  </si>
  <si>
    <t>Exercícios progressivos</t>
  </si>
  <si>
    <t>Teoria dos conjuntos</t>
  </si>
  <si>
    <t>União, interseção, diferença, complemento; subconjuntos; cardinalidade; diagramas de Venn.</t>
  </si>
  <si>
    <t>Fórmulas + questões</t>
  </si>
  <si>
    <t>Operações aritméticas e problemas matriciais ou combinatórios</t>
  </si>
  <si>
    <t>Frações, porcentagem, razão e proporção; princípios de contagem; permutação, arranjo e combinação; matrizes e operações básicas.</t>
  </si>
  <si>
    <t>Fórmulas + exercícios</t>
  </si>
  <si>
    <t>Legislação Aplicada à Ebserh</t>
  </si>
  <si>
    <t>Lei nº 12.550/2011</t>
  </si>
  <si>
    <t>Criação da Ebserh; finalidade; natureza jurídica; competências; vinculação; contrato e atuação junto aos hospitais universitários.</t>
  </si>
  <si>
    <t>Leitura da lei + marcação de artigos + questões</t>
  </si>
  <si>
    <t>Decreto nº 7.661/2011 / Estatuto Social</t>
  </si>
  <si>
    <t>Objeto social; organização; administração; órgãos; competências e funcionamento institucional.</t>
  </si>
  <si>
    <t>Leitura dirigida + resumo</t>
  </si>
  <si>
    <t>Regimento Interno da Ebserh</t>
  </si>
  <si>
    <t>Estrutura organizacional; competências das unidades; responsabilidades; funcionamento e atribuições.</t>
  </si>
  <si>
    <t>Leitura dirigida + mapa mental</t>
  </si>
  <si>
    <t>Código de Ética e Conduta</t>
  </si>
  <si>
    <t>Princípios éticos; deveres; condutas vedadas; conflitos de interesse; relacionamento profissional e patrimônio público.</t>
  </si>
  <si>
    <t>Leitura + questões/situações-problema</t>
  </si>
  <si>
    <t>Legislação Aplicada ao SUS</t>
  </si>
  <si>
    <t>Evolução histórica da saúde no Brasil</t>
  </si>
  <si>
    <t>Modelo pré-SUS; Reforma Sanitária; 8ª Conferência Nacional de Saúde; Constituição de 1988; implantação e consolidação do SUS.</t>
  </si>
  <si>
    <t>Linha do tempo + questões</t>
  </si>
  <si>
    <t>SUS na Constituição Federal — arts. 196 a 200</t>
  </si>
  <si>
    <t>Direito à saúde; relevância pública; diretrizes; competências; participação complementar da iniciativa privada.</t>
  </si>
  <si>
    <t>Leitura literal dos artigos + questões</t>
  </si>
  <si>
    <t>Lei nº 8.080/1990</t>
  </si>
  <si>
    <t>Princípios e diretrizes; organização; competências; vigilância; assistência; regionalização; planejamento e financiamento.</t>
  </si>
  <si>
    <t>Leitura por capítulos + questões</t>
  </si>
  <si>
    <t>Lei nº 8.142/1990</t>
  </si>
  <si>
    <t>Participação da comunidade; Conferências e Conselhos de Saúde; transferências intergovernamentais.</t>
  </si>
  <si>
    <t>Leitura literal + questões</t>
  </si>
  <si>
    <t>Decreto nº 7.508/2011</t>
  </si>
  <si>
    <t>Região de Saúde; portas de entrada; redes de atenção; RENASES; RENAME; planejamento e articulação interfederativa.</t>
  </si>
  <si>
    <t>Mapa conceitual + questões</t>
  </si>
  <si>
    <t>Conhecimentos Específicos</t>
  </si>
  <si>
    <t>Engenharia de Software</t>
  </si>
  <si>
    <t>Ciclos de vida do software</t>
  </si>
  <si>
    <t>Cascata, incremental, iterativo, espiral e modelos híbridos; vantagens, limitações e contexto de uso.</t>
  </si>
  <si>
    <t>Quadro comparativo + questões</t>
  </si>
  <si>
    <t>Engenharia de Requisitos — Elicitação</t>
  </si>
  <si>
    <t>Identificação de stakeholders; entrevistas; workshops; observação; prototipação; técnicas de levantamento.</t>
  </si>
  <si>
    <t>Estudo de técnicas + exemplos</t>
  </si>
  <si>
    <t>Engenharia de Requisitos — Análise</t>
  </si>
  <si>
    <t>Requisitos funcionais e não funcionais; priorização; conflitos; dependências; rastreabilidade.</t>
  </si>
  <si>
    <t>Classificar e priorizar requisitos + questões</t>
  </si>
  <si>
    <t>Engenharia de Requisitos — Validação</t>
  </si>
  <si>
    <t>Verificação; critérios de qualidade; consistência; completude; testes/aceitação de requisitos.</t>
  </si>
  <si>
    <t>Checklist de validação + questões</t>
  </si>
  <si>
    <t>UML — Casos de Uso</t>
  </si>
  <si>
    <t>Atores; casos de uso; include; extend; generalização; fronteira do sistema; descrição textual.</t>
  </si>
  <si>
    <t>Construir diagramas + questões</t>
  </si>
  <si>
    <t>UML — Diagrama de Classes</t>
  </si>
  <si>
    <t>Classe; atributo; operação; associação; agregação; composição; herança; multiplicidade; visibilidade.</t>
  </si>
  <si>
    <t>Construir modelos + questões</t>
  </si>
  <si>
    <t>UML — Diagrama de Sequência</t>
  </si>
  <si>
    <t>Lifelines; mensagens; ativação; retorno; fragmentos combinados; interação entre objetos.</t>
  </si>
  <si>
    <t>Testes de software</t>
  </si>
  <si>
    <t>Níveis e tipos de teste; unitário; integração; sistema; aceitação; caixa-preta/caixa-branca; regressão.</t>
  </si>
  <si>
    <t>Classificação + questões</t>
  </si>
  <si>
    <t>TDD</t>
  </si>
  <si>
    <t>Red-Green-Refactor; testes antes do código; ciclo de desenvolvimento; benefícios e limitações.</t>
  </si>
  <si>
    <t>Fluxo prático + questões</t>
  </si>
  <si>
    <t>Metodologias Ágeis — Scrum</t>
  </si>
  <si>
    <t>Papéis/accountabilities; eventos; artefatos; backlog; Sprint; Definition of Done; incrementos.</t>
  </si>
  <si>
    <t>Mapa do Scrum + questões</t>
  </si>
  <si>
    <t>Metodologias Ágeis — Kanban</t>
  </si>
  <si>
    <t>Fluxo contínuo; quadro; WIP; lead time; cycle time; políticas explícitas; melhoria contínua.</t>
  </si>
  <si>
    <t>Comparar com Scrum + questões</t>
  </si>
  <si>
    <t>Metodologias Ágeis — XP</t>
  </si>
  <si>
    <t>Programação em pares; integração contínua; refatoração; TDD; pequenas entregas; práticas do XP.</t>
  </si>
  <si>
    <t>Lista de práticas + questões</t>
  </si>
  <si>
    <t>Linguagens e Desenvolvimento Web</t>
  </si>
  <si>
    <t>Programação Orientada a Objetos</t>
  </si>
  <si>
    <t>Classes, objetos, encapsulamento, abstração, herança, polimorfismo, composição e interfaces.</t>
  </si>
  <si>
    <t>Exercícios de modelagem/código + questões</t>
  </si>
  <si>
    <t>Java SE</t>
  </si>
  <si>
    <t>Sintaxe; tipos; coleções; exceções; generics; streams; lambdas; orientação a objetos; JDBC; concorrência básica.</t>
  </si>
  <si>
    <t>Código + questões</t>
  </si>
  <si>
    <t>Java EE / Jakarta EE</t>
  </si>
  <si>
    <t>Servlets; JPA; CDI; JAX-RS; JAX-WS (conceito); persistência; injeção de dependência; aplicações corporativas.</t>
  </si>
  <si>
    <t>Arquitetura + questões + código</t>
  </si>
  <si>
    <t>Python</t>
  </si>
  <si>
    <t>Sintaxe; tipos e estruturas; funções; módulos; exceções; orientação a objetos; manipulação de dados; APIs.</t>
  </si>
  <si>
    <t>PHP</t>
  </si>
  <si>
    <t>Sintaxe; variáveis; arrays; funções; POO; tratamento de requisições; integração com banco; aplicações web.</t>
  </si>
  <si>
    <t>JavaScript</t>
  </si>
  <si>
    <t>Tipos; funções; escopo; objetos; arrays; DOM; eventos; assíncrono/promises; JSON; consumo de APIs.</t>
  </si>
  <si>
    <t>HTML5</t>
  </si>
  <si>
    <t>Estrutura semântica; formulários; tabelas; links; multimídia; acessibilidade; APIs básicas do HTML5.</t>
  </si>
  <si>
    <t>Prática + questões</t>
  </si>
  <si>
    <t>CSS3</t>
  </si>
  <si>
    <t>Seletores; box model; posicionamento; Flexbox; Grid; responsividade; especificidade; media queries.</t>
  </si>
  <si>
    <t>JSON</t>
  </si>
  <si>
    <t>Objetos, arrays, tipos; serialização/deserialização; estrutura; uso em APIs REST.</t>
  </si>
  <si>
    <t>Ler e montar JSON + questões</t>
  </si>
  <si>
    <t>XML</t>
  </si>
  <si>
    <t>Elementos, atributos, namespaces; estrutura; validação; XML Schema; uso em integrações.</t>
  </si>
  <si>
    <t>Leitura de exemplos + questões</t>
  </si>
  <si>
    <t>Padrão MVC</t>
  </si>
  <si>
    <t>Model, View, Controller; responsabilidades; fluxo de requisição; vantagens e acoplamento.</t>
  </si>
  <si>
    <t>Desenhar fluxo + questões</t>
  </si>
  <si>
    <t>Arquitetura de Microserviços</t>
  </si>
  <si>
    <t>Características; decomposição; comunicação; descoberta de serviços; tolerância a falhas; observabilidade; vantagens e trade-offs.</t>
  </si>
  <si>
    <t>Arquitetura + questões</t>
  </si>
  <si>
    <t>APIs REST/RESTful</t>
  </si>
  <si>
    <t>Recursos; URI; HTTP; métodos; status codes; idempotência; headers; autenticação/autorização; versionamento; HATEOAS (conceito).</t>
  </si>
  <si>
    <t>Construir/consumir API + questões</t>
  </si>
  <si>
    <t>Banco de Dados e BI</t>
  </si>
  <si>
    <t>Bancos de Dados Relacionais</t>
  </si>
  <si>
    <t>SGBD; tabelas; registros; chaves; integridade; constraints; transações; ACID; índices; views.</t>
  </si>
  <si>
    <t>Teoria + SQL + questões</t>
  </si>
  <si>
    <t>Modelagem Entidade-Relacionamento (DER)</t>
  </si>
  <si>
    <t>Entidades; atributos; relacionamentos; cardinalidade; chaves; entidades fracas; transformação para modelo relacional.</t>
  </si>
  <si>
    <t>Modelar cenários + questões</t>
  </si>
  <si>
    <t>Normalização</t>
  </si>
  <si>
    <t>Dependências funcionais; 1FN, 2FN, 3FN e noções de BCNF; anomalias de inserção, alteração e exclusão.</t>
  </si>
  <si>
    <t>Normalizar tabelas + questões</t>
  </si>
  <si>
    <t>SQL — DDL</t>
  </si>
  <si>
    <t>CREATE, ALTER, DROP; tabelas; constraints; tipos; índices; views (conceitos e comandos).</t>
  </si>
  <si>
    <t>Prática SQL + questões</t>
  </si>
  <si>
    <t>SQL — DML</t>
  </si>
  <si>
    <t>SELECT, INSERT, UPDATE, DELETE; filtros; ORDER BY; GROUP BY; HAVING; funções agregadas.</t>
  </si>
  <si>
    <t>SQL — JOINs e consultas complexas</t>
  </si>
  <si>
    <t>INNER, LEFT, RIGHT e FULL JOIN (conceitos conforme SGBD); subconsultas; CTE; UNION; EXISTS; CASE.</t>
  </si>
  <si>
    <t>Resolver consultas complexas + questões</t>
  </si>
  <si>
    <t>Data Warehouse</t>
  </si>
  <si>
    <t>Objetivo; características; OLTP x OLAP; fatos e dimensões; granularidade; histórico; arquitetura.</t>
  </si>
  <si>
    <t>Modelagem dimensional</t>
  </si>
  <si>
    <t>Esquema estrela e floco de neve; tabela fato; dimensões; medidas; dimensões degeneradas e lentamente mutáveis (conceito).</t>
  </si>
  <si>
    <t>Modelar exemplos + questões</t>
  </si>
  <si>
    <t>ETL</t>
  </si>
  <si>
    <t>Extração, transformação e carga; qualidade; limpeza; integração; cargas completas/incrementais; controle de erros.</t>
  </si>
  <si>
    <t>Desenhar fluxo ETL + questões</t>
  </si>
  <si>
    <t>NoSQL</t>
  </si>
  <si>
    <t>Motivação; diferenças para relacional; chave-valor; documentos; colunar; grafos; consistência e escalabilidade.</t>
  </si>
  <si>
    <t>Comparativo SQL x NoSQL + questões</t>
  </si>
  <si>
    <t>Governança de TI e Segurança</t>
  </si>
  <si>
    <t>ITIL 4</t>
  </si>
  <si>
    <t>Sistema de Valor de Serviço; princípios orientadores; governança; cadeia de valor; práticas de gestão de serviços.</t>
  </si>
  <si>
    <t>Mapa do ITIL 4 + questões</t>
  </si>
  <si>
    <t>COBIT 2019</t>
  </si>
  <si>
    <t>Governança x gestão; princípios; objetivos de governança/gestão; componentes do sistema de governança; cascata de objetivos.</t>
  </si>
  <si>
    <t>Mapa do COBIT + questões</t>
  </si>
  <si>
    <t>Criptografia simétrica</t>
  </si>
  <si>
    <t>Chave única; conceitos de cifra; AES e outros exemplos; desempenho; uso em confidencialidade.</t>
  </si>
  <si>
    <t>Comparativo + questões</t>
  </si>
  <si>
    <t>Criptografia assimétrica</t>
  </si>
  <si>
    <t>Par de chaves; RSA/ECC (conceitos); troca de chaves; confidencialidade e autenticação.</t>
  </si>
  <si>
    <t>Assinaturas digitais</t>
  </si>
  <si>
    <t>Hash; integridade; autenticidade; não repúdio (conceito); certificados digitais e infraestrutura de chaves públicas.</t>
  </si>
  <si>
    <t>Fluxo de assinatura + questões</t>
  </si>
  <si>
    <t>Malwares</t>
  </si>
  <si>
    <t>Vírus, worm, trojan, ransomware, spyware, botnet e outros; vetores de infecção; prevenção.</t>
  </si>
  <si>
    <t>Firewalls</t>
  </si>
  <si>
    <t>Filtragem; regras; stateful/stateless; proxy; NGFW (conceito); segmentação e posicionamento na arquitetura.</t>
  </si>
  <si>
    <t>LGPD aplicada a dados de saúde pública</t>
  </si>
  <si>
    <t>Princípios; bases legais; agentes de tratamento; direitos dos titulares; dados pessoais e sensíveis; segurança; incidentes; compartilhamento e tratamento pelo poder público.</t>
  </si>
  <si>
    <t>Leitura da lei + casos práticos + questões</t>
  </si>
  <si>
    <t>MAPA DO EDITAL — DO TÍTULO AO QUE ESTUDAR</t>
  </si>
  <si>
    <t>Desdobramento</t>
  </si>
  <si>
    <t>Como estudar</t>
  </si>
  <si>
    <t>PAINEL DE CONTROLE</t>
  </si>
  <si>
    <t>Total de assuntos</t>
  </si>
  <si>
    <t>Resumo por disciplina</t>
  </si>
  <si>
    <t>Assuntos concluídos</t>
  </si>
  <si>
    <t>Assuntos</t>
  </si>
  <si>
    <t>Concluídos</t>
  </si>
  <si>
    <t>Horas</t>
  </si>
  <si>
    <t>Questões</t>
  </si>
  <si>
    <t>Em estudo</t>
  </si>
  <si>
    <t>A revisar</t>
  </si>
  <si>
    <t>Não iniciados</t>
  </si>
  <si>
    <t>Horas planejadas</t>
  </si>
  <si>
    <t>% de acerto geral</t>
  </si>
  <si>
    <t>CICLO DE REVISÃO — 24H / 7D / 30D</t>
  </si>
  <si>
    <t>Assunto</t>
  </si>
  <si>
    <t>Data do estudo</t>
  </si>
  <si>
    <t>Revisão 24h</t>
  </si>
  <si>
    <t>Revisão 7d</t>
  </si>
  <si>
    <t>Revisão 30d</t>
  </si>
  <si>
    <t>Resultado/erros</t>
  </si>
  <si>
    <t>Observações</t>
  </si>
  <si>
    <t>CICLO SEMANAL SUGERIDO — ORGANIZAÇÃO FLEXÍVEL</t>
  </si>
  <si>
    <t>Dia</t>
  </si>
  <si>
    <t>Foco</t>
  </si>
  <si>
    <t>Atividade</t>
  </si>
  <si>
    <t>Carga sugerida</t>
  </si>
  <si>
    <t>Realizado?</t>
  </si>
  <si>
    <t>Segunda</t>
  </si>
  <si>
    <t>Português</t>
  </si>
  <si>
    <t>Teoria + questões</t>
  </si>
  <si>
    <t>2h</t>
  </si>
  <si>
    <t>Terça</t>
  </si>
  <si>
    <t>Quarta</t>
  </si>
  <si>
    <t>Java / Desenvolvimento Web</t>
  </si>
  <si>
    <t>Teoria + código + questões</t>
  </si>
  <si>
    <t>Quinta</t>
  </si>
  <si>
    <t>Banco de Dados / SQL</t>
  </si>
  <si>
    <t>Teoria + prática + questões</t>
  </si>
  <si>
    <t>Sexta</t>
  </si>
  <si>
    <t>Governança, Segurança e LGPD</t>
  </si>
  <si>
    <t>Sábado</t>
  </si>
  <si>
    <t>RLM + Legislação Ebserh/SUS</t>
  </si>
  <si>
    <t>Revezar disciplinas + questões</t>
  </si>
  <si>
    <t>3h</t>
  </si>
  <si>
    <t>Domingo</t>
  </si>
  <si>
    <t>Revisão + simulado</t>
  </si>
  <si>
    <t>Revisão 24h/7d + caderno de erros</t>
  </si>
  <si>
    <t>2–3h</t>
  </si>
  <si>
    <t>COMO USAR A PLANILHA</t>
  </si>
  <si>
    <t>Nº</t>
  </si>
  <si>
    <t>Área</t>
  </si>
  <si>
    <t>Orientação</t>
  </si>
  <si>
    <t>1</t>
  </si>
  <si>
    <t>Plano de Estudo</t>
  </si>
  <si>
    <t>Use uma linha por assunto. Preencha horas de teoria, questões e revisão. O total é calculado automaticamente.</t>
  </si>
  <si>
    <t>2</t>
  </si>
  <si>
    <t>Altere o status entre Não iniciado, Em estudo, Revisar e Concluído.</t>
  </si>
  <si>
    <t>3</t>
  </si>
  <si>
    <t>Registre quantidade de questões e acertos. A porcentagem é calculada automaticamente.</t>
  </si>
  <si>
    <t>4</t>
  </si>
  <si>
    <t>Ciclo de Revisão</t>
  </si>
  <si>
    <t>Ao estudar um assunto, informe a Data do estudo. As datas de 24h, 7 dias e 30 dias são calculadas.</t>
  </si>
  <si>
    <t>5</t>
  </si>
  <si>
    <t>Controle</t>
  </si>
  <si>
    <t>Acompanhe a quantidade de assuntos, horas, questões e desempenho por disciplina.</t>
  </si>
  <si>
    <t>6</t>
  </si>
  <si>
    <t>Ciclo Semanal</t>
  </si>
  <si>
    <t>Use como modelo de distribuição. Ajuste a carga horária à sua rotina.</t>
  </si>
  <si>
    <t>7</t>
  </si>
  <si>
    <t>Caderno de erros</t>
  </si>
  <si>
    <t>Anote na coluna de observações da revisão os pontos que você errou e retorne a eles nas revisões.</t>
  </si>
  <si>
    <t>SQL (Banco de Dados)</t>
  </si>
  <si>
    <t>PYTHON (Dados/IA)</t>
  </si>
  <si>
    <t>JAVASCRIPT/PHP (Web)</t>
  </si>
  <si>
    <t>Linguagens exigidas nos maiores concursos.</t>
  </si>
  <si>
    <t>JAVA (Orientação a Objetos)</t>
  </si>
  <si>
    <t>Tema</t>
  </si>
  <si>
    <t>Informações explícitas e implícitas</t>
  </si>
  <si>
    <t>Inferência</t>
  </si>
  <si>
    <t>Finalidade</t>
  </si>
  <si>
    <t>Ponto de vista.</t>
  </si>
  <si>
    <t>Ideia principal e secundária</t>
  </si>
  <si>
    <t>Narração</t>
  </si>
  <si>
    <t>Descrição</t>
  </si>
  <si>
    <t>Argumentação</t>
  </si>
  <si>
    <t>Injunção</t>
  </si>
  <si>
    <t>Características</t>
  </si>
  <si>
    <t>Finalidade dos gêneros.</t>
  </si>
  <si>
    <t>Emprego de letras</t>
  </si>
  <si>
    <t>Hífen</t>
  </si>
  <si>
    <t>Gafias oficiais</t>
  </si>
  <si>
    <t>Palavras homônimas</t>
  </si>
  <si>
    <t>Palavras parônimas</t>
  </si>
  <si>
    <t>Acordo ortográfico.</t>
  </si>
  <si>
    <t>Dissertação/Exposição</t>
  </si>
  <si>
    <t>Oxítonas</t>
  </si>
  <si>
    <t>Paroxítonas</t>
  </si>
  <si>
    <t>Proparoxítonas</t>
  </si>
  <si>
    <t>Hiatos</t>
  </si>
  <si>
    <t>Ditongos</t>
  </si>
  <si>
    <t>Regras especiais</t>
  </si>
  <si>
    <t>Exceções.</t>
  </si>
  <si>
    <t>Substantivo</t>
  </si>
  <si>
    <t>Adjetivo</t>
  </si>
  <si>
    <t>Artigo</t>
  </si>
  <si>
    <t>Pronome</t>
  </si>
  <si>
    <t>Numeral</t>
  </si>
  <si>
    <t>Verbo</t>
  </si>
  <si>
    <t>Advérbio</t>
  </si>
  <si>
    <t>Preposição</t>
  </si>
  <si>
    <t>Conjunção</t>
  </si>
  <si>
    <t>Interjeição</t>
  </si>
  <si>
    <t>Funções</t>
  </si>
  <si>
    <t>Emprego.</t>
  </si>
  <si>
    <t>Casos obrigatórios</t>
  </si>
  <si>
    <t>Proibidos</t>
  </si>
  <si>
    <t>facultativos</t>
  </si>
  <si>
    <t>Teste da substituição</t>
  </si>
  <si>
    <t>Locuções</t>
  </si>
  <si>
    <t>Casos especiais.</t>
  </si>
  <si>
    <t>Termos essenciais</t>
  </si>
  <si>
    <t>Orações reduzidas</t>
  </si>
  <si>
    <t>Funções sintáticas.</t>
  </si>
  <si>
    <t>Acessórios</t>
  </si>
  <si>
    <t>Integrantes</t>
  </si>
  <si>
    <t>Coordenação</t>
  </si>
  <si>
    <t>Subordinação</t>
  </si>
  <si>
    <t>Regras gerais</t>
  </si>
  <si>
    <t>Sujeito composto</t>
  </si>
  <si>
    <t>Porcentagens</t>
  </si>
  <si>
    <t>Expressões partitivas</t>
  </si>
  <si>
    <t>Verbos impessoais</t>
  </si>
  <si>
    <t>Preposições exigidas</t>
  </si>
  <si>
    <t>Verbos de regência recorrente</t>
  </si>
  <si>
    <t>Mudança de sentido</t>
  </si>
  <si>
    <t>Regência e crase.</t>
  </si>
  <si>
    <t>Vírgula</t>
  </si>
  <si>
    <t>Ponto e vírgula</t>
  </si>
  <si>
    <t>Dois-pontos</t>
  </si>
  <si>
    <t>Travessão</t>
  </si>
  <si>
    <t>Parênteses</t>
  </si>
  <si>
    <t>Emprego da vírgula em orações e termos.</t>
  </si>
  <si>
    <t>Matérias</t>
  </si>
  <si>
    <t>Títulos</t>
  </si>
  <si>
    <t>Instituições de Concurso Público</t>
  </si>
  <si>
    <t>Hu Brasil</t>
  </si>
  <si>
    <t>Cobrado?</t>
  </si>
  <si>
    <t>SIM</t>
  </si>
  <si>
    <t>Concursos para cargos de Analista de Sistemas.</t>
  </si>
  <si>
    <t>Premissas</t>
  </si>
  <si>
    <t>Conclusão</t>
  </si>
  <si>
    <t>Validade</t>
  </si>
  <si>
    <t>Equivalência</t>
  </si>
  <si>
    <t>Negação</t>
  </si>
  <si>
    <t>Identificação de argumentos.</t>
  </si>
  <si>
    <t>Proposição</t>
  </si>
  <si>
    <t>Disjunção</t>
  </si>
  <si>
    <t>Condicional</t>
  </si>
  <si>
    <t>Bicondicional</t>
  </si>
  <si>
    <t>Tabelas-verdade</t>
  </si>
  <si>
    <t>Equivalências.</t>
  </si>
  <si>
    <t>Representação de relações entre conjuntos e proposições</t>
  </si>
  <si>
    <t>Leitura e interpretação de diagramas.</t>
  </si>
  <si>
    <t>União</t>
  </si>
  <si>
    <t>Interseção</t>
  </si>
  <si>
    <t>Diferença</t>
  </si>
  <si>
    <t>Complemento</t>
  </si>
  <si>
    <t>Subconjuntos</t>
  </si>
  <si>
    <t>Cardinalidade</t>
  </si>
  <si>
    <t>Diagramas de Venn.</t>
  </si>
  <si>
    <t>Frações</t>
  </si>
  <si>
    <t>Porcentagem</t>
  </si>
  <si>
    <t>Razão e proporção</t>
  </si>
  <si>
    <t>Princípios de contagem</t>
  </si>
  <si>
    <t>Permutação</t>
  </si>
  <si>
    <t>Arranjo e combinação</t>
  </si>
  <si>
    <t>Matrizes e operações básicas.</t>
  </si>
  <si>
    <t>Criação da Ebserh</t>
  </si>
  <si>
    <t>Natureza jurídica</t>
  </si>
  <si>
    <t>Competência</t>
  </si>
  <si>
    <t>Vinculação</t>
  </si>
  <si>
    <t>Contrato</t>
  </si>
  <si>
    <t>Atuação junto aos hospitais universitários.</t>
  </si>
  <si>
    <t>Objeto social</t>
  </si>
  <si>
    <t>Organização</t>
  </si>
  <si>
    <t>Administração</t>
  </si>
  <si>
    <t>Orgãos</t>
  </si>
  <si>
    <t>Competências</t>
  </si>
  <si>
    <t>Funcionamento institucional.</t>
  </si>
  <si>
    <t>Estrutura organizacional</t>
  </si>
  <si>
    <t>Competências das unidades</t>
  </si>
  <si>
    <t>Responsabilidades</t>
  </si>
  <si>
    <t>Funcionamento</t>
  </si>
  <si>
    <t>Atribuições.</t>
  </si>
  <si>
    <t>Princípios éticos</t>
  </si>
  <si>
    <t>Deveres</t>
  </si>
  <si>
    <t>Condutas vedadas</t>
  </si>
  <si>
    <t>Conflitos de interesse</t>
  </si>
  <si>
    <t>Relacionamento profissional</t>
  </si>
  <si>
    <t>Patrimônio público.</t>
  </si>
  <si>
    <t>Modelo pré-SUS</t>
  </si>
  <si>
    <t>Reforma Sanitária</t>
  </si>
  <si>
    <t>8ª Conferência Nacional de Saúde</t>
  </si>
  <si>
    <t>Constituição de 1988</t>
  </si>
  <si>
    <t xml:space="preserve"> Implantação e consolidação do SUS.</t>
  </si>
  <si>
    <t>Direito à saúde</t>
  </si>
  <si>
    <t>Relevância pública</t>
  </si>
  <si>
    <t>Diretrizes</t>
  </si>
  <si>
    <t>Participação complementar da iniciativa privada.</t>
  </si>
  <si>
    <t>Princípios e diretrizes</t>
  </si>
  <si>
    <t>Vigilância</t>
  </si>
  <si>
    <t>Assistência</t>
  </si>
  <si>
    <t>Regionalização</t>
  </si>
  <si>
    <t>Planejamento e financiamento.</t>
  </si>
  <si>
    <t>Participação da comunidade</t>
  </si>
  <si>
    <t>Conferências e Conselhos de Saúde</t>
  </si>
  <si>
    <t>Transferências intergovernamentais.</t>
  </si>
  <si>
    <t>Região de Saúde</t>
  </si>
  <si>
    <t>Portas de entrada</t>
  </si>
  <si>
    <t>Redes de atenção</t>
  </si>
  <si>
    <t>RENASES</t>
  </si>
  <si>
    <t>RENAME</t>
  </si>
  <si>
    <t>Planejamento e articulação interfederativa.</t>
  </si>
  <si>
    <t>Identificação de stakeholders</t>
  </si>
  <si>
    <t>Entrevistas</t>
  </si>
  <si>
    <t>Workshops</t>
  </si>
  <si>
    <t>Observação</t>
  </si>
  <si>
    <t>Prototipação</t>
  </si>
  <si>
    <t>Técnicas de levantamento.</t>
  </si>
  <si>
    <t xml:space="preserve">Requisitos funcionais </t>
  </si>
  <si>
    <t>Requisitos não funcionais</t>
  </si>
  <si>
    <t>Priorização</t>
  </si>
  <si>
    <t>Conflitos</t>
  </si>
  <si>
    <t>Dependências</t>
  </si>
  <si>
    <t>Rastreabilidade.</t>
  </si>
  <si>
    <t>Verificação</t>
  </si>
  <si>
    <t>Critérios de qualidade</t>
  </si>
  <si>
    <t>Consistência</t>
  </si>
  <si>
    <t>Completude</t>
  </si>
  <si>
    <t>Testes</t>
  </si>
  <si>
    <t>Testes aceitação de requisitos.</t>
  </si>
  <si>
    <t>Atores</t>
  </si>
  <si>
    <t>Casos de uso</t>
  </si>
  <si>
    <t>Include</t>
  </si>
  <si>
    <t>Extend</t>
  </si>
  <si>
    <t>Generalização</t>
  </si>
  <si>
    <t>Fronteira do sistema</t>
  </si>
  <si>
    <t>Descrição textual.</t>
  </si>
  <si>
    <t>Classe</t>
  </si>
  <si>
    <t>Atributo</t>
  </si>
  <si>
    <t>Operação</t>
  </si>
  <si>
    <t>Associação</t>
  </si>
  <si>
    <t>Agregação</t>
  </si>
  <si>
    <t>Composição</t>
  </si>
  <si>
    <t>Herança</t>
  </si>
  <si>
    <t>Multiplicidade</t>
  </si>
  <si>
    <t>Visibilidade.</t>
  </si>
  <si>
    <t>Mensagens</t>
  </si>
  <si>
    <t>Lifelines</t>
  </si>
  <si>
    <t>Ativação</t>
  </si>
  <si>
    <t>Retorno</t>
  </si>
  <si>
    <t>Fragmentos combinados</t>
  </si>
  <si>
    <t>Interação entre objetos.</t>
  </si>
  <si>
    <t>Níveis e tipos de teste</t>
  </si>
  <si>
    <t>Unitário</t>
  </si>
  <si>
    <t>Integração</t>
  </si>
  <si>
    <t>Sistema</t>
  </si>
  <si>
    <t>Aceitação</t>
  </si>
  <si>
    <t>Caixa-preta</t>
  </si>
  <si>
    <t>Caixa-branca</t>
  </si>
  <si>
    <t>Regressão.</t>
  </si>
  <si>
    <t>Red-Green-Refactor</t>
  </si>
  <si>
    <t>Testes antes do código</t>
  </si>
  <si>
    <t>Ciclo de desenvolvimento</t>
  </si>
  <si>
    <t>Benefícios e limitações.</t>
  </si>
  <si>
    <t>Papéis</t>
  </si>
  <si>
    <t>Accountabilities</t>
  </si>
  <si>
    <t>Eventos</t>
  </si>
  <si>
    <t>Artefatos</t>
  </si>
  <si>
    <t>Backlog</t>
  </si>
  <si>
    <t>Sprint</t>
  </si>
  <si>
    <t>Definition of Done</t>
  </si>
  <si>
    <t>Incrementos.</t>
  </si>
  <si>
    <t>Fluxo contínuo</t>
  </si>
  <si>
    <t>Quadro</t>
  </si>
  <si>
    <t>WIP</t>
  </si>
  <si>
    <t>Lead time</t>
  </si>
  <si>
    <t>Cycle time</t>
  </si>
  <si>
    <t>Políticas explícitas</t>
  </si>
  <si>
    <t>Melhoria contínua.</t>
  </si>
  <si>
    <t>Programação em pares</t>
  </si>
  <si>
    <t>Integração contínua</t>
  </si>
  <si>
    <t>Refatoração</t>
  </si>
  <si>
    <t>Pequenas entregas</t>
  </si>
  <si>
    <t>Práticas do XP.</t>
  </si>
  <si>
    <t>Classes</t>
  </si>
  <si>
    <t>Objetos</t>
  </si>
  <si>
    <t>Encapsulamento</t>
  </si>
  <si>
    <t>Abstração</t>
  </si>
  <si>
    <t>Polimorfismo</t>
  </si>
  <si>
    <t>Interfaces.</t>
  </si>
  <si>
    <t>Sintaxe</t>
  </si>
  <si>
    <t>Tipos</t>
  </si>
  <si>
    <t>Coleções</t>
  </si>
  <si>
    <t>Exceções</t>
  </si>
  <si>
    <t>Generics</t>
  </si>
  <si>
    <t>Streams</t>
  </si>
  <si>
    <t>Lambdas</t>
  </si>
  <si>
    <t>Orientação a objetos</t>
  </si>
  <si>
    <t>JDBC</t>
  </si>
  <si>
    <t>Concorrência básica.</t>
  </si>
  <si>
    <t>Servlets</t>
  </si>
  <si>
    <t>JPA</t>
  </si>
  <si>
    <t>CDI</t>
  </si>
  <si>
    <t>JAX-RS</t>
  </si>
  <si>
    <t>JAX-WS (conceito)</t>
  </si>
  <si>
    <t>Persistência</t>
  </si>
  <si>
    <t>Injeção de dependência</t>
  </si>
  <si>
    <t>Aplicações corporativas.</t>
  </si>
  <si>
    <t>Tipos e estruturas</t>
  </si>
  <si>
    <t>Módulos</t>
  </si>
  <si>
    <t>Manipulação de dados</t>
  </si>
  <si>
    <t>APIs.</t>
  </si>
  <si>
    <t>Variáveis</t>
  </si>
  <si>
    <t>Arrays</t>
  </si>
  <si>
    <t>POO</t>
  </si>
  <si>
    <t>Tratamento de requisições</t>
  </si>
  <si>
    <t>Integração com banco</t>
  </si>
  <si>
    <t>Aplicações web.</t>
  </si>
  <si>
    <t>Escopo</t>
  </si>
  <si>
    <t>DOM</t>
  </si>
  <si>
    <t>Assíncrono</t>
  </si>
  <si>
    <t>Promises</t>
  </si>
  <si>
    <t>Consumo de APIs.</t>
  </si>
  <si>
    <t>Estrutura semântica</t>
  </si>
  <si>
    <t>Formulários</t>
  </si>
  <si>
    <t>Tabelas</t>
  </si>
  <si>
    <t>Links</t>
  </si>
  <si>
    <t>Multimídia</t>
  </si>
  <si>
    <t>Acessibilidade</t>
  </si>
  <si>
    <t>APIs básicas do HTML5.</t>
  </si>
  <si>
    <t>Seletores</t>
  </si>
  <si>
    <t>Box model</t>
  </si>
  <si>
    <t>Posicionamento</t>
  </si>
  <si>
    <t>Flexbox</t>
  </si>
  <si>
    <t>Grid</t>
  </si>
  <si>
    <t>Responsividade</t>
  </si>
  <si>
    <t>Especificidade</t>
  </si>
  <si>
    <t>Media queries.</t>
  </si>
  <si>
    <t>Serialização</t>
  </si>
  <si>
    <t>Deserialização</t>
  </si>
  <si>
    <t>Estrutura</t>
  </si>
  <si>
    <t>Uso em APIs REST.</t>
  </si>
  <si>
    <t>Elementos</t>
  </si>
  <si>
    <t>Atributos</t>
  </si>
  <si>
    <t>Namespaces</t>
  </si>
  <si>
    <t>Validação</t>
  </si>
  <si>
    <t>Uso em integrações.</t>
  </si>
  <si>
    <t>Schema</t>
  </si>
  <si>
    <t>Model</t>
  </si>
  <si>
    <t>View</t>
  </si>
  <si>
    <t>Controller</t>
  </si>
  <si>
    <t>Fluxo de requisição</t>
  </si>
  <si>
    <t>Vantagens</t>
  </si>
  <si>
    <t>Acoplamento.</t>
  </si>
  <si>
    <t>Decomposição</t>
  </si>
  <si>
    <t>Comunicação</t>
  </si>
  <si>
    <t>Descoberta de serviços</t>
  </si>
  <si>
    <t>Tolerância a falhas</t>
  </si>
  <si>
    <t>Observabilidade</t>
  </si>
  <si>
    <t>Trade-offs.</t>
  </si>
  <si>
    <t>Recursos</t>
  </si>
  <si>
    <t>URI</t>
  </si>
  <si>
    <t>HTTP</t>
  </si>
  <si>
    <t>Métodos</t>
  </si>
  <si>
    <t>Status codes</t>
  </si>
  <si>
    <t>Idempotência</t>
  </si>
  <si>
    <t>Headers</t>
  </si>
  <si>
    <t>Autenticação</t>
  </si>
  <si>
    <t>Autorização</t>
  </si>
  <si>
    <t>Versionamento</t>
  </si>
  <si>
    <t>HATEOAS (conceito).</t>
  </si>
  <si>
    <t>SGBD</t>
  </si>
  <si>
    <t>Registros</t>
  </si>
  <si>
    <t>Chaves</t>
  </si>
  <si>
    <t>Integridade</t>
  </si>
  <si>
    <t>Constraints</t>
  </si>
  <si>
    <t>Transações</t>
  </si>
  <si>
    <t>ACID</t>
  </si>
  <si>
    <t>Indices</t>
  </si>
  <si>
    <t>Views.</t>
  </si>
  <si>
    <t>Entidades</t>
  </si>
  <si>
    <t>Relacionamentos</t>
  </si>
  <si>
    <t>Entidades fracas</t>
  </si>
  <si>
    <t>Transformação para modelo relacional.</t>
  </si>
  <si>
    <t>Dependências funcionais</t>
  </si>
  <si>
    <t>1FN</t>
  </si>
  <si>
    <t>2FN</t>
  </si>
  <si>
    <t>3FN</t>
  </si>
  <si>
    <t>Noções de BCNF</t>
  </si>
  <si>
    <t>Anomalias de inserção</t>
  </si>
  <si>
    <t>Alteração</t>
  </si>
  <si>
    <t>Exclusão.</t>
  </si>
  <si>
    <t>CREATE</t>
  </si>
  <si>
    <t>ALTER</t>
  </si>
  <si>
    <t>DROP</t>
  </si>
  <si>
    <t>tabelas</t>
  </si>
  <si>
    <t>Índices</t>
  </si>
  <si>
    <t>Views (conceitos e comandos).</t>
  </si>
  <si>
    <t>SELECT</t>
  </si>
  <si>
    <t>INSERT</t>
  </si>
  <si>
    <t>UPDATE</t>
  </si>
  <si>
    <t>DELETE</t>
  </si>
  <si>
    <t>Filtros</t>
  </si>
  <si>
    <t>ORDER BY</t>
  </si>
  <si>
    <t>GROUP BY</t>
  </si>
  <si>
    <t>HAVING</t>
  </si>
  <si>
    <t>Funções agregadas.</t>
  </si>
  <si>
    <t>INNER</t>
  </si>
  <si>
    <t>LEFT</t>
  </si>
  <si>
    <t>RIGHT</t>
  </si>
  <si>
    <t>FULL JOIN (conceitos conforme SGBD)</t>
  </si>
  <si>
    <t>subconsultas</t>
  </si>
  <si>
    <t>CTE</t>
  </si>
  <si>
    <t>UNION</t>
  </si>
  <si>
    <t>EXISTS</t>
  </si>
  <si>
    <t>CASE.</t>
  </si>
  <si>
    <t>Objetivo</t>
  </si>
  <si>
    <t xml:space="preserve"> OLTP x OLAP</t>
  </si>
  <si>
    <t>Fatos e dimensões</t>
  </si>
  <si>
    <t>Granularidade</t>
  </si>
  <si>
    <t>Histórico</t>
  </si>
  <si>
    <t>Arquitetura.</t>
  </si>
  <si>
    <t>Esquema estrela</t>
  </si>
  <si>
    <t>Esquema floco de neve</t>
  </si>
  <si>
    <t>Tabela fato</t>
  </si>
  <si>
    <t>Dimensões</t>
  </si>
  <si>
    <t>Medidas</t>
  </si>
  <si>
    <t>Dimensões degeneradas e lentamente mutáveis (conceito).</t>
  </si>
  <si>
    <t>Extração</t>
  </si>
  <si>
    <t>Transformação e carga</t>
  </si>
  <si>
    <t>Qualidade</t>
  </si>
  <si>
    <t>Limpeza</t>
  </si>
  <si>
    <t>Cargas completas</t>
  </si>
  <si>
    <t>Cargas incrementais</t>
  </si>
  <si>
    <t>Controle de erros.</t>
  </si>
  <si>
    <t>Motivação</t>
  </si>
  <si>
    <t>Diferenças para relacional</t>
  </si>
  <si>
    <t>Chave-valor</t>
  </si>
  <si>
    <t>Documentos</t>
  </si>
  <si>
    <t>Colunar</t>
  </si>
  <si>
    <t>Grafos</t>
  </si>
  <si>
    <t>Escalabilidade.</t>
  </si>
  <si>
    <t>Governança x gestão</t>
  </si>
  <si>
    <t>Princípios</t>
  </si>
  <si>
    <t>Objetivos de governança</t>
  </si>
  <si>
    <t>Gestão</t>
  </si>
  <si>
    <t>Componentes do sistema de governança</t>
  </si>
  <si>
    <t>Cascata de objetivos.</t>
  </si>
  <si>
    <t>Chave única</t>
  </si>
  <si>
    <t>Conceitos de cifra</t>
  </si>
  <si>
    <t>AES e outros exemplos</t>
  </si>
  <si>
    <t>Desempenho</t>
  </si>
  <si>
    <t>Uso em confidencialidade.</t>
  </si>
  <si>
    <t>Par de chaves</t>
  </si>
  <si>
    <t>RSA/ECC (conceitos)</t>
  </si>
  <si>
    <t>Troca de chaves</t>
  </si>
  <si>
    <t>Confidencialidade</t>
  </si>
  <si>
    <t>Autenticação.</t>
  </si>
  <si>
    <t>Hash</t>
  </si>
  <si>
    <t>Autenticidade</t>
  </si>
  <si>
    <t>Não repúdio (conceito)</t>
  </si>
  <si>
    <t>Certificados digitais</t>
  </si>
  <si>
    <t>Infraestrutura de chaves públicas.</t>
  </si>
  <si>
    <t>Vírus</t>
  </si>
  <si>
    <t>Worm</t>
  </si>
  <si>
    <t>Trojan</t>
  </si>
  <si>
    <t>Ransomware</t>
  </si>
  <si>
    <t>Spyware</t>
  </si>
  <si>
    <t>Botnet e outros</t>
  </si>
  <si>
    <t>Vetores de infecção</t>
  </si>
  <si>
    <t>Prevenção.</t>
  </si>
  <si>
    <t>Filtragem</t>
  </si>
  <si>
    <t>Regras</t>
  </si>
  <si>
    <t>Stateful</t>
  </si>
  <si>
    <t>Stateless</t>
  </si>
  <si>
    <t>Proxy</t>
  </si>
  <si>
    <t>NGFW (conceito)</t>
  </si>
  <si>
    <t>Segmentação e posicionamento na arquitetura.</t>
  </si>
  <si>
    <t>Bases legais</t>
  </si>
  <si>
    <t>Agentes de tratamento</t>
  </si>
  <si>
    <t>Direitos dos titulares</t>
  </si>
  <si>
    <t>Dados pessoais e sensíveis</t>
  </si>
  <si>
    <t>Segurança</t>
  </si>
  <si>
    <t>Incidentes</t>
  </si>
  <si>
    <t>Compartilhamento e tratamento pelo poder público.</t>
  </si>
  <si>
    <t>Programação / POO</t>
  </si>
  <si>
    <t>Classes, encapsulamento, herança, polimorfismo, interfaces, relacionamentos entre objetos</t>
  </si>
  <si>
    <t>UML</t>
  </si>
  <si>
    <t>Banco de Dados</t>
  </si>
  <si>
    <t>Engenharia de requisitos + elicitação + stakeholders + prototipação</t>
  </si>
  <si>
    <t>MVC / Arquitetura de Software</t>
  </si>
  <si>
    <t>Model, View, Controller, responsabilidades e vantagens</t>
  </si>
  <si>
    <t>Segurança da Informação</t>
  </si>
  <si>
    <t>Malwares, vírus, botnet, tipos de ataques</t>
  </si>
  <si>
    <t>Data Warehouse / BI</t>
  </si>
  <si>
    <t>Objetivo de DW + modelagem dimensional + esquema estrela</t>
  </si>
  <si>
    <t>Assinatura Digital / Certificados</t>
  </si>
  <si>
    <t>Certificados digitais e conceitos relacionados</t>
  </si>
  <si>
    <t>1. POO</t>
  </si>
  <si>
    <t>2. UML – Diagrama de Classes</t>
  </si>
  <si>
    <t>3. Banco de Dados – Normalização + SQL</t>
  </si>
  <si>
    <t>4. Engenharia de Requisitos</t>
  </si>
  <si>
    <t>5. MVC</t>
  </si>
  <si>
    <t>6. Segurança/Malwares</t>
  </si>
  <si>
    <t>🔴 1</t>
  </si>
  <si>
    <t>🔴 2</t>
  </si>
  <si>
    <t>Principalmente Diagrama de Classes: associação, agregação, composição, herança</t>
  </si>
  <si>
    <t>🔴 3</t>
  </si>
  <si>
    <t>Normalização, 3FN, BCNF, SQL/DML, principalmente comandos e conceitos que apareceram</t>
  </si>
  <si>
    <t>🔴 4</t>
  </si>
  <si>
    <t>🟠 5</t>
  </si>
  <si>
    <t>🟠 6</t>
  </si>
  <si>
    <t>🟠 7</t>
  </si>
  <si>
    <t>🟠 8</t>
  </si>
  <si>
    <t>POO: classe → objeto → encapsulamento → herança → polimorfismo → interface</t>
  </si>
  <si>
    <t>UML: associação → agregação → composição → herança → multiplicidade</t>
  </si>
  <si>
    <t>Banco: 1FN → 2FN → 3FN → BCNF → DDL/DML → SELECT → JOIN → DELETE</t>
  </si>
  <si>
    <t>Requisitos: stakeholders → elicitação → análise → validação → prototipação</t>
  </si>
  <si>
    <t>MVC: Model → View → Controller → responsabilidade de cada um → vantagens</t>
  </si>
  <si>
    <t>Segurança: vírus → malware → botnet → tipos de malware → conceitos básicos de proteção</t>
  </si>
  <si>
    <t>Foco Prioritário</t>
  </si>
  <si>
    <t>Relacionamentos entre Objetos</t>
  </si>
  <si>
    <t>Disciplinas</t>
  </si>
  <si>
    <t>Desbobramentos</t>
  </si>
</sst>
</file>

<file path=xl/styles.xml><?xml version="1.0" encoding="utf-8"?>
<styleSheet xmlns="http://schemas.openxmlformats.org/spreadsheetml/2006/main">
  <numFmts count="1">
    <numFmt numFmtId="164" formatCode="0.0"/>
  </numFmts>
  <fonts count="16">
    <font>
      <sz val="11"/>
      <color theme="1"/>
      <name val="Calibri"/>
      <family val="2"/>
      <scheme val="minor"/>
    </font>
    <font>
      <b/>
      <sz val="16"/>
      <color rgb="FFFFFFFF"/>
      <name val="Calibri"/>
    </font>
    <font>
      <i/>
      <sz val="11"/>
      <color rgb="FF44546A"/>
      <name val="Calibri"/>
    </font>
    <font>
      <b/>
      <sz val="11"/>
      <color rgb="FFFFFFFF"/>
      <name val="Calibri"/>
    </font>
    <font>
      <b/>
      <sz val="15"/>
      <color rgb="FFFFFFFF"/>
      <name val="Calibri"/>
    </font>
    <font>
      <b/>
      <sz val="11"/>
      <name val="Calibri"/>
    </font>
    <font>
      <b/>
      <sz val="12"/>
      <name val="Calibri"/>
    </font>
    <font>
      <b/>
      <sz val="11"/>
      <color theme="0"/>
      <name val="Calibri"/>
      <family val="2"/>
      <scheme val="minor"/>
    </font>
    <font>
      <b/>
      <sz val="11"/>
      <color theme="1"/>
      <name val="Calibri"/>
      <family val="2"/>
      <scheme val="minor"/>
    </font>
    <font>
      <b/>
      <sz val="12"/>
      <color theme="0"/>
      <name val="Arial"/>
      <family val="2"/>
    </font>
    <font>
      <b/>
      <sz val="12"/>
      <color theme="1"/>
      <name val="Arial"/>
      <family val="2"/>
    </font>
    <font>
      <b/>
      <i/>
      <sz val="12"/>
      <color theme="0"/>
      <name val="Arial"/>
      <family val="2"/>
    </font>
    <font>
      <sz val="12"/>
      <color theme="1"/>
      <name val="Arial"/>
      <family val="2"/>
    </font>
    <font>
      <b/>
      <sz val="18"/>
      <color theme="1"/>
      <name val="Arial"/>
      <family val="2"/>
    </font>
    <font>
      <b/>
      <i/>
      <sz val="18"/>
      <color theme="1"/>
      <name val="Arial"/>
      <family val="2"/>
    </font>
    <font>
      <b/>
      <sz val="14"/>
      <color theme="1"/>
      <name val="Calibri"/>
      <family val="2"/>
      <scheme val="minor"/>
    </font>
  </fonts>
  <fills count="9">
    <fill>
      <patternFill patternType="none"/>
    </fill>
    <fill>
      <patternFill patternType="gray125"/>
    </fill>
    <fill>
      <patternFill patternType="solid">
        <fgColor rgb="FF17365D"/>
      </patternFill>
    </fill>
    <fill>
      <patternFill patternType="solid">
        <fgColor rgb="FF2F75B5"/>
      </patternFill>
    </fill>
    <fill>
      <patternFill patternType="solid">
        <fgColor rgb="FFD9EAF7"/>
      </patternFill>
    </fill>
    <fill>
      <patternFill patternType="solid">
        <fgColor rgb="FF0070C0"/>
        <bgColor indexed="64"/>
      </patternFill>
    </fill>
    <fill>
      <patternFill patternType="solid">
        <fgColor theme="4" tint="-0.499984740745262"/>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30">
    <xf numFmtId="0" fontId="0" fillId="0" borderId="0" xfId="0"/>
    <xf numFmtId="0" fontId="3" fillId="3" borderId="1" xfId="0" applyFont="1" applyFill="1" applyBorder="1" applyAlignment="1">
      <alignment horizontal="center" vertical="center" wrapText="1"/>
    </xf>
    <xf numFmtId="0" fontId="0" fillId="0" borderId="1" xfId="0" applyBorder="1" applyAlignment="1">
      <alignment vertical="top" wrapText="1"/>
    </xf>
    <xf numFmtId="164" fontId="0" fillId="0" borderId="1" xfId="0" applyNumberFormat="1" applyBorder="1" applyAlignment="1">
      <alignment vertical="top" wrapText="1"/>
    </xf>
    <xf numFmtId="9" fontId="0" fillId="0" borderId="1" xfId="0" applyNumberFormat="1" applyBorder="1" applyAlignment="1">
      <alignment vertical="top" wrapText="1"/>
    </xf>
    <xf numFmtId="0" fontId="3" fillId="3" borderId="1" xfId="0" applyFont="1" applyFill="1" applyBorder="1" applyAlignment="1">
      <alignment horizontal="center" wrapText="1"/>
    </xf>
    <xf numFmtId="0" fontId="5" fillId="4" borderId="1" xfId="0" applyFont="1" applyFill="1" applyBorder="1"/>
    <xf numFmtId="0" fontId="6" fillId="0" borderId="1" xfId="0" applyFont="1" applyBorder="1"/>
    <xf numFmtId="0" fontId="3" fillId="3" borderId="0" xfId="0" applyFont="1" applyFill="1"/>
    <xf numFmtId="0" fontId="3" fillId="3" borderId="1" xfId="0" applyFont="1" applyFill="1" applyBorder="1"/>
    <xf numFmtId="9" fontId="6" fillId="0" borderId="1" xfId="0" applyNumberFormat="1" applyFont="1" applyBorder="1"/>
    <xf numFmtId="14" fontId="0" fillId="0" borderId="1" xfId="0" applyNumberFormat="1" applyBorder="1" applyAlignment="1">
      <alignment vertical="top" wrapText="1"/>
    </xf>
    <xf numFmtId="0" fontId="7" fillId="5" borderId="0" xfId="0" applyFont="1" applyFill="1"/>
    <xf numFmtId="0" fontId="8" fillId="0" borderId="0" xfId="0" applyFont="1"/>
    <xf numFmtId="0" fontId="9" fillId="5" borderId="0" xfId="0" applyFont="1" applyFill="1"/>
    <xf numFmtId="0" fontId="10" fillId="0" borderId="0" xfId="0" applyFont="1"/>
    <xf numFmtId="0" fontId="11" fillId="6" borderId="0" xfId="0" applyFont="1" applyFill="1"/>
    <xf numFmtId="0" fontId="12" fillId="0" borderId="0" xfId="0" applyFont="1"/>
    <xf numFmtId="0" fontId="13" fillId="0" borderId="0" xfId="0" applyFont="1"/>
    <xf numFmtId="0" fontId="14" fillId="0" borderId="0" xfId="0" applyFont="1"/>
    <xf numFmtId="0" fontId="9" fillId="6" borderId="0" xfId="0" applyFont="1" applyFill="1"/>
    <xf numFmtId="0" fontId="2" fillId="0" borderId="0" xfId="0" applyFont="1" applyAlignment="1">
      <alignment horizontal="left"/>
    </xf>
    <xf numFmtId="0" fontId="0" fillId="0" borderId="0" xfId="0"/>
    <xf numFmtId="0" fontId="1" fillId="2" borderId="0" xfId="0" applyFont="1" applyFill="1" applyAlignment="1">
      <alignment horizontal="center" vertical="center"/>
    </xf>
    <xf numFmtId="0" fontId="4" fillId="2" borderId="0" xfId="0" applyFont="1" applyFill="1" applyAlignment="1">
      <alignment horizontal="center"/>
    </xf>
    <xf numFmtId="0" fontId="1" fillId="2" borderId="0" xfId="0" applyFont="1" applyFill="1" applyAlignment="1">
      <alignment horizontal="center"/>
    </xf>
    <xf numFmtId="0" fontId="15" fillId="0" borderId="0" xfId="0" applyFont="1"/>
    <xf numFmtId="0" fontId="8" fillId="7" borderId="0" xfId="0" applyFont="1" applyFill="1"/>
    <xf numFmtId="0" fontId="15" fillId="7" borderId="0" xfId="0" applyFont="1" applyFill="1"/>
    <xf numFmtId="0" fontId="15" fillId="8" borderId="0" xfId="0" applyFont="1" applyFill="1"/>
  </cellXfs>
  <cellStyles count="1">
    <cellStyle name="Normal" xfId="0" builtinId="0"/>
  </cellStyles>
  <dxfs count="2">
    <dxf>
      <fill>
        <patternFill patternType="solid">
          <fgColor rgb="FFFFF2CC"/>
        </patternFill>
      </fill>
    </dxf>
    <dxf>
      <fill>
        <patternFill patternType="solid">
          <fgColor rgb="FFE2F0D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pt-BR"/>
  <c:style val="10"/>
  <c:chart>
    <c:title>
      <c:tx>
        <c:rich>
          <a:bodyPr/>
          <a:lstStyle/>
          <a:p>
            <a:pPr>
              <a:defRPr/>
            </a:pPr>
            <a:r>
              <a:rPr lang="pt-BR"/>
              <a:t>Quantidade de assuntos por disciplina</a:t>
            </a:r>
          </a:p>
        </c:rich>
      </c:tx>
      <c:layout/>
    </c:title>
    <c:plotArea>
      <c:layout/>
      <c:barChart>
        <c:barDir val="bar"/>
        <c:grouping val="clustered"/>
        <c:ser>
          <c:idx val="0"/>
          <c:order val="0"/>
          <c:tx>
            <c:strRef>
              <c:f>Controle!$E$4</c:f>
              <c:strCache>
                <c:ptCount val="1"/>
                <c:pt idx="0">
                  <c:v>Assuntos</c:v>
                </c:pt>
              </c:strCache>
            </c:strRef>
          </c:tx>
          <c:spPr>
            <a:ln>
              <a:prstDash val="solid"/>
            </a:ln>
          </c:spPr>
          <c:cat>
            <c:strRef>
              <c:f>Controle!$D$5:$D$12</c:f>
              <c:strCache>
                <c:ptCount val="8"/>
                <c:pt idx="0">
                  <c:v>Língua Portuguesa</c:v>
                </c:pt>
                <c:pt idx="1">
                  <c:v>Raciocínio Lógico-Matemático</c:v>
                </c:pt>
                <c:pt idx="2">
                  <c:v>Legislação Aplicada à Ebserh</c:v>
                </c:pt>
                <c:pt idx="3">
                  <c:v>Legislação Aplicada ao SUS</c:v>
                </c:pt>
                <c:pt idx="4">
                  <c:v>Engenharia de Software</c:v>
                </c:pt>
                <c:pt idx="5">
                  <c:v>Linguagens e Desenvolvimento Web</c:v>
                </c:pt>
                <c:pt idx="6">
                  <c:v>Banco de Dados e BI</c:v>
                </c:pt>
                <c:pt idx="7">
                  <c:v>Governança de TI e Segurança</c:v>
                </c:pt>
              </c:strCache>
            </c:strRef>
          </c:cat>
          <c:val>
            <c:numRef>
              <c:f>Controle!$E$5:$E$12</c:f>
              <c:numCache>
                <c:formatCode>General</c:formatCode>
                <c:ptCount val="8"/>
                <c:pt idx="0">
                  <c:v>10</c:v>
                </c:pt>
                <c:pt idx="1">
                  <c:v>5</c:v>
                </c:pt>
                <c:pt idx="2">
                  <c:v>4</c:v>
                </c:pt>
                <c:pt idx="3">
                  <c:v>5</c:v>
                </c:pt>
                <c:pt idx="4">
                  <c:v>12</c:v>
                </c:pt>
                <c:pt idx="5">
                  <c:v>13</c:v>
                </c:pt>
                <c:pt idx="6">
                  <c:v>10</c:v>
                </c:pt>
                <c:pt idx="7">
                  <c:v>8</c:v>
                </c:pt>
              </c:numCache>
            </c:numRef>
          </c:val>
        </c:ser>
        <c:dLbls>
          <c:showVal val="1"/>
        </c:dLbls>
        <c:axId val="123345536"/>
        <c:axId val="123368192"/>
      </c:barChart>
      <c:catAx>
        <c:axId val="123345536"/>
        <c:scaling>
          <c:orientation val="minMax"/>
        </c:scaling>
        <c:axPos val="l"/>
        <c:title>
          <c:tx>
            <c:rich>
              <a:bodyPr/>
              <a:lstStyle/>
              <a:p>
                <a:pPr>
                  <a:defRPr/>
                </a:pPr>
                <a:r>
                  <a:rPr lang="pt-BR"/>
                  <a:t>Assuntos</a:t>
                </a:r>
              </a:p>
            </c:rich>
          </c:tx>
          <c:layout/>
        </c:title>
        <c:majorTickMark val="none"/>
        <c:tickLblPos val="nextTo"/>
        <c:crossAx val="123368192"/>
        <c:crosses val="autoZero"/>
        <c:lblAlgn val="ctr"/>
        <c:lblOffset val="100"/>
      </c:catAx>
      <c:valAx>
        <c:axId val="123368192"/>
        <c:scaling>
          <c:orientation val="minMax"/>
        </c:scaling>
        <c:axPos val="b"/>
        <c:majorGridlines/>
        <c:title>
          <c:tx>
            <c:rich>
              <a:bodyPr/>
              <a:lstStyle/>
              <a:p>
                <a:pPr>
                  <a:defRPr/>
                </a:pPr>
                <a:r>
                  <a:rPr lang="pt-BR"/>
                  <a:t>Disciplina</a:t>
                </a:r>
              </a:p>
            </c:rich>
          </c:tx>
          <c:layout/>
        </c:title>
        <c:numFmt formatCode="General" sourceLinked="1"/>
        <c:majorTickMark val="none"/>
        <c:tickLblPos val="nextTo"/>
        <c:crossAx val="123345536"/>
        <c:crosses val="autoZero"/>
        <c:crossBetween val="between"/>
      </c:valAx>
    </c:plotArea>
    <c:plotVisOnly val="1"/>
    <c:dispBlanksAs val="gap"/>
  </c:chart>
  <c:printSettings>
    <c:headerFooter/>
    <c:pageMargins b="0.78740157499999996" l="0.511811024" r="0.511811024" t="0.78740157499999996" header="0.31496062000000014" footer="0.31496062000000014"/>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16</xdr:row>
      <xdr:rowOff>219075</xdr:rowOff>
    </xdr:from>
    <xdr:to>
      <xdr:col>2</xdr:col>
      <xdr:colOff>29653</xdr:colOff>
      <xdr:row>31</xdr:row>
      <xdr:rowOff>76200</xdr:rowOff>
    </xdr:to>
    <xdr:pic>
      <xdr:nvPicPr>
        <xdr:cNvPr id="2" name="Imagem 1" descr="demanda_disciplinas_ebserh (1).png"/>
        <xdr:cNvPicPr>
          <a:picLocks noChangeAspect="1"/>
        </xdr:cNvPicPr>
      </xdr:nvPicPr>
      <xdr:blipFill>
        <a:blip xmlns:r="http://schemas.openxmlformats.org/officeDocument/2006/relationships" r:embed="rId1" cstate="print"/>
        <a:stretch>
          <a:fillRect/>
        </a:stretch>
      </xdr:blipFill>
      <xdr:spPr>
        <a:xfrm>
          <a:off x="0" y="6886575"/>
          <a:ext cx="5630353" cy="28098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19</xdr:row>
      <xdr:rowOff>0</xdr:rowOff>
    </xdr:from>
    <xdr:ext cx="5760000" cy="288000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id="2" name="MapaEdital" displayName="MapaEdital" ref="A3:F70">
  <autoFilter ref="A3:F70"/>
  <tableColumns count="6">
    <tableColumn id="1" name="Bloco"/>
    <tableColumn id="2" name="Disciplina"/>
    <tableColumn id="3" name="Título do edital"/>
    <tableColumn id="4" name="Desdobramento"/>
    <tableColumn id="5" name="Como estudar"/>
    <tableColumn id="6" name="Prioridade"/>
  </tableColumns>
  <tableStyleInfo name="TableStyleMedium2" showFirstColumn="0" showLastColumn="0" showRowStripes="1" showColumnStripes="0"/>
</table>
</file>

<file path=xl/tables/table2.xml><?xml version="1.0" encoding="utf-8"?>
<table xmlns="http://schemas.openxmlformats.org/spreadsheetml/2006/main" id="3" name="Revisoes" displayName="Revisoes" ref="A3:H70">
  <autoFilter ref="A3:H70"/>
  <tableColumns count="8">
    <tableColumn id="1" name="ID"/>
    <tableColumn id="2" name="Assunto"/>
    <tableColumn id="3" name="Data do estudo"/>
    <tableColumn id="4" name="Revisão 24h"/>
    <tableColumn id="5" name="Revisão 7d"/>
    <tableColumn id="6" name="Revisão 30d"/>
    <tableColumn id="7" name="Resultado/erros"/>
    <tableColumn id="8" name="Observaçõ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dimension ref="A1:BE70"/>
  <sheetViews>
    <sheetView tabSelected="1" workbookViewId="0">
      <selection activeCell="C15" sqref="C15"/>
    </sheetView>
  </sheetViews>
  <sheetFormatPr defaultColWidth="44.85546875" defaultRowHeight="15.75"/>
  <cols>
    <col min="1" max="1" width="44.85546875" style="15"/>
    <col min="2" max="2" width="50.140625" style="15" customWidth="1"/>
    <col min="3" max="57" width="44.85546875" style="15"/>
    <col min="58" max="16384" width="44.85546875" style="17"/>
  </cols>
  <sheetData>
    <row r="1" spans="1:3" ht="23.25">
      <c r="A1" s="19" t="s">
        <v>372</v>
      </c>
    </row>
    <row r="2" spans="1:3" s="15" customFormat="1">
      <c r="A2" s="14" t="s">
        <v>368</v>
      </c>
      <c r="B2" s="14"/>
      <c r="C2" s="14" t="s">
        <v>369</v>
      </c>
    </row>
    <row r="3" spans="1:3">
      <c r="A3" s="16" t="s">
        <v>366</v>
      </c>
      <c r="B3" s="16" t="s">
        <v>367</v>
      </c>
      <c r="C3" s="16" t="s">
        <v>370</v>
      </c>
    </row>
    <row r="4" spans="1:3">
      <c r="A4" s="15" t="s">
        <v>19</v>
      </c>
      <c r="B4" s="15" t="s">
        <v>300</v>
      </c>
      <c r="C4" s="15" t="s">
        <v>371</v>
      </c>
    </row>
    <row r="5" spans="1:3">
      <c r="A5" s="15" t="s">
        <v>19</v>
      </c>
      <c r="B5" s="15" t="s">
        <v>305</v>
      </c>
      <c r="C5" s="15" t="s">
        <v>371</v>
      </c>
    </row>
    <row r="6" spans="1:3">
      <c r="A6" s="15" t="s">
        <v>19</v>
      </c>
      <c r="B6" s="15" t="s">
        <v>301</v>
      </c>
      <c r="C6" s="15" t="s">
        <v>371</v>
      </c>
    </row>
    <row r="7" spans="1:3">
      <c r="A7" s="15" t="s">
        <v>19</v>
      </c>
      <c r="B7" s="15" t="s">
        <v>302</v>
      </c>
      <c r="C7" s="15" t="s">
        <v>371</v>
      </c>
    </row>
    <row r="8" spans="1:3">
      <c r="A8" s="15" t="s">
        <v>19</v>
      </c>
      <c r="B8" s="15" t="s">
        <v>303</v>
      </c>
      <c r="C8" s="15" t="s">
        <v>371</v>
      </c>
    </row>
    <row r="9" spans="1:3">
      <c r="A9" s="15" t="s">
        <v>19</v>
      </c>
      <c r="B9" s="15" t="s">
        <v>304</v>
      </c>
      <c r="C9" s="15" t="s">
        <v>371</v>
      </c>
    </row>
    <row r="10" spans="1:3">
      <c r="A10" s="15" t="s">
        <v>24</v>
      </c>
      <c r="B10" s="15" t="s">
        <v>306</v>
      </c>
      <c r="C10" s="15" t="s">
        <v>371</v>
      </c>
    </row>
    <row r="11" spans="1:3">
      <c r="A11" s="15" t="s">
        <v>24</v>
      </c>
      <c r="B11" s="15" t="s">
        <v>307</v>
      </c>
      <c r="C11" s="15" t="s">
        <v>371</v>
      </c>
    </row>
    <row r="12" spans="1:3">
      <c r="A12" s="15" t="s">
        <v>24</v>
      </c>
      <c r="B12" s="15" t="s">
        <v>318</v>
      </c>
      <c r="C12" s="15" t="s">
        <v>371</v>
      </c>
    </row>
    <row r="13" spans="1:3">
      <c r="A13" s="15" t="s">
        <v>24</v>
      </c>
      <c r="B13" s="15" t="s">
        <v>308</v>
      </c>
      <c r="C13" s="15" t="s">
        <v>371</v>
      </c>
    </row>
    <row r="14" spans="1:3">
      <c r="A14" s="15" t="s">
        <v>24</v>
      </c>
      <c r="B14" s="15" t="s">
        <v>309</v>
      </c>
      <c r="C14" s="15" t="s">
        <v>371</v>
      </c>
    </row>
    <row r="15" spans="1:3">
      <c r="A15" s="15" t="s">
        <v>24</v>
      </c>
      <c r="B15" s="15" t="s">
        <v>310</v>
      </c>
      <c r="C15" s="15" t="s">
        <v>371</v>
      </c>
    </row>
    <row r="16" spans="1:3">
      <c r="A16" s="15" t="s">
        <v>24</v>
      </c>
      <c r="B16" s="15" t="s">
        <v>311</v>
      </c>
      <c r="C16" s="15" t="s">
        <v>371</v>
      </c>
    </row>
    <row r="17" spans="1:3">
      <c r="A17" s="15" t="s">
        <v>28</v>
      </c>
      <c r="B17" s="15" t="s">
        <v>312</v>
      </c>
      <c r="C17" s="15" t="s">
        <v>371</v>
      </c>
    </row>
    <row r="18" spans="1:3">
      <c r="A18" s="15" t="s">
        <v>28</v>
      </c>
      <c r="B18" s="15" t="s">
        <v>313</v>
      </c>
      <c r="C18" s="15" t="s">
        <v>371</v>
      </c>
    </row>
    <row r="19" spans="1:3">
      <c r="A19" s="15" t="s">
        <v>28</v>
      </c>
      <c r="B19" s="15" t="s">
        <v>314</v>
      </c>
      <c r="C19" s="15" t="s">
        <v>371</v>
      </c>
    </row>
    <row r="20" spans="1:3">
      <c r="A20" s="15" t="s">
        <v>28</v>
      </c>
      <c r="B20" s="15" t="s">
        <v>315</v>
      </c>
      <c r="C20" s="15" t="s">
        <v>371</v>
      </c>
    </row>
    <row r="21" spans="1:3">
      <c r="A21" s="15" t="s">
        <v>28</v>
      </c>
      <c r="B21" s="15" t="s">
        <v>316</v>
      </c>
      <c r="C21" s="15" t="s">
        <v>371</v>
      </c>
    </row>
    <row r="22" spans="1:3">
      <c r="A22" s="15" t="s">
        <v>28</v>
      </c>
      <c r="B22" s="15" t="s">
        <v>317</v>
      </c>
      <c r="C22" s="15" t="s">
        <v>371</v>
      </c>
    </row>
    <row r="23" spans="1:3">
      <c r="A23" s="15" t="s">
        <v>31</v>
      </c>
      <c r="B23" s="15" t="s">
        <v>319</v>
      </c>
      <c r="C23" s="15" t="s">
        <v>371</v>
      </c>
    </row>
    <row r="24" spans="1:3">
      <c r="A24" s="15" t="s">
        <v>31</v>
      </c>
      <c r="B24" s="15" t="s">
        <v>320</v>
      </c>
      <c r="C24" s="15" t="s">
        <v>371</v>
      </c>
    </row>
    <row r="25" spans="1:3">
      <c r="A25" s="15" t="s">
        <v>31</v>
      </c>
      <c r="B25" s="15" t="s">
        <v>321</v>
      </c>
      <c r="C25" s="15" t="s">
        <v>371</v>
      </c>
    </row>
    <row r="26" spans="1:3">
      <c r="A26" s="15" t="s">
        <v>31</v>
      </c>
      <c r="B26" s="15" t="s">
        <v>322</v>
      </c>
      <c r="C26" s="15" t="s">
        <v>371</v>
      </c>
    </row>
    <row r="27" spans="1:3">
      <c r="A27" s="15" t="s">
        <v>31</v>
      </c>
      <c r="B27" s="15" t="s">
        <v>323</v>
      </c>
      <c r="C27" s="15" t="s">
        <v>371</v>
      </c>
    </row>
    <row r="28" spans="1:3">
      <c r="A28" s="15" t="s">
        <v>31</v>
      </c>
      <c r="B28" s="15" t="s">
        <v>324</v>
      </c>
      <c r="C28" s="15" t="s">
        <v>371</v>
      </c>
    </row>
    <row r="29" spans="1:3">
      <c r="A29" s="15" t="s">
        <v>31</v>
      </c>
      <c r="B29" s="15" t="s">
        <v>325</v>
      </c>
      <c r="C29" s="15" t="s">
        <v>371</v>
      </c>
    </row>
    <row r="30" spans="1:3">
      <c r="A30" s="15" t="s">
        <v>34</v>
      </c>
      <c r="B30" s="15" t="s">
        <v>326</v>
      </c>
      <c r="C30" s="15" t="s">
        <v>371</v>
      </c>
    </row>
    <row r="31" spans="1:3">
      <c r="A31" s="15" t="s">
        <v>34</v>
      </c>
      <c r="B31" s="15" t="s">
        <v>327</v>
      </c>
      <c r="C31" s="15" t="s">
        <v>371</v>
      </c>
    </row>
    <row r="32" spans="1:3">
      <c r="A32" s="15" t="s">
        <v>34</v>
      </c>
      <c r="B32" s="15" t="s">
        <v>328</v>
      </c>
      <c r="C32" s="15" t="s">
        <v>371</v>
      </c>
    </row>
    <row r="33" spans="1:3">
      <c r="A33" s="15" t="s">
        <v>34</v>
      </c>
      <c r="B33" s="15" t="s">
        <v>329</v>
      </c>
      <c r="C33" s="15" t="s">
        <v>371</v>
      </c>
    </row>
    <row r="34" spans="1:3">
      <c r="A34" s="15" t="s">
        <v>34</v>
      </c>
      <c r="B34" s="15" t="s">
        <v>330</v>
      </c>
      <c r="C34" s="15" t="s">
        <v>371</v>
      </c>
    </row>
    <row r="35" spans="1:3">
      <c r="A35" s="15" t="s">
        <v>34</v>
      </c>
      <c r="B35" s="15" t="s">
        <v>331</v>
      </c>
      <c r="C35" s="15" t="s">
        <v>371</v>
      </c>
    </row>
    <row r="36" spans="1:3">
      <c r="A36" s="15" t="s">
        <v>34</v>
      </c>
      <c r="B36" s="15" t="s">
        <v>332</v>
      </c>
      <c r="C36" s="15" t="s">
        <v>371</v>
      </c>
    </row>
    <row r="37" spans="1:3">
      <c r="A37" s="15" t="s">
        <v>34</v>
      </c>
      <c r="B37" s="15" t="s">
        <v>333</v>
      </c>
      <c r="C37" s="15" t="s">
        <v>371</v>
      </c>
    </row>
    <row r="38" spans="1:3">
      <c r="A38" s="15" t="s">
        <v>34</v>
      </c>
      <c r="B38" s="15" t="s">
        <v>334</v>
      </c>
      <c r="C38" s="15" t="s">
        <v>371</v>
      </c>
    </row>
    <row r="39" spans="1:3">
      <c r="A39" s="15" t="s">
        <v>34</v>
      </c>
      <c r="B39" s="15" t="s">
        <v>335</v>
      </c>
      <c r="C39" s="15" t="s">
        <v>371</v>
      </c>
    </row>
    <row r="40" spans="1:3">
      <c r="A40" s="15" t="s">
        <v>34</v>
      </c>
      <c r="B40" s="15" t="s">
        <v>336</v>
      </c>
      <c r="C40" s="15" t="s">
        <v>371</v>
      </c>
    </row>
    <row r="41" spans="1:3">
      <c r="A41" s="15" t="s">
        <v>34</v>
      </c>
      <c r="B41" s="15" t="s">
        <v>337</v>
      </c>
      <c r="C41" s="15" t="s">
        <v>371</v>
      </c>
    </row>
    <row r="42" spans="1:3">
      <c r="A42" s="15" t="s">
        <v>37</v>
      </c>
      <c r="B42" s="15" t="s">
        <v>338</v>
      </c>
      <c r="C42" s="15" t="s">
        <v>371</v>
      </c>
    </row>
    <row r="43" spans="1:3">
      <c r="A43" s="15" t="s">
        <v>37</v>
      </c>
      <c r="B43" s="15" t="s">
        <v>339</v>
      </c>
      <c r="C43" s="15" t="s">
        <v>371</v>
      </c>
    </row>
    <row r="44" spans="1:3">
      <c r="A44" s="15" t="s">
        <v>37</v>
      </c>
      <c r="B44" s="15" t="s">
        <v>340</v>
      </c>
      <c r="C44" s="15" t="s">
        <v>371</v>
      </c>
    </row>
    <row r="45" spans="1:3">
      <c r="A45" s="15" t="s">
        <v>37</v>
      </c>
      <c r="B45" s="15" t="s">
        <v>341</v>
      </c>
      <c r="C45" s="15" t="s">
        <v>371</v>
      </c>
    </row>
    <row r="46" spans="1:3">
      <c r="A46" s="15" t="s">
        <v>37</v>
      </c>
      <c r="B46" s="15" t="s">
        <v>342</v>
      </c>
      <c r="C46" s="15" t="s">
        <v>371</v>
      </c>
    </row>
    <row r="47" spans="1:3">
      <c r="A47" s="15" t="s">
        <v>37</v>
      </c>
      <c r="B47" s="15" t="s">
        <v>343</v>
      </c>
      <c r="C47" s="15" t="s">
        <v>371</v>
      </c>
    </row>
    <row r="48" spans="1:3">
      <c r="A48" s="15" t="s">
        <v>40</v>
      </c>
      <c r="B48" s="15" t="s">
        <v>344</v>
      </c>
      <c r="C48" s="15" t="s">
        <v>371</v>
      </c>
    </row>
    <row r="49" spans="1:3">
      <c r="A49" s="15" t="s">
        <v>40</v>
      </c>
      <c r="B49" s="15" t="s">
        <v>348</v>
      </c>
      <c r="C49" s="15" t="s">
        <v>371</v>
      </c>
    </row>
    <row r="50" spans="1:3">
      <c r="A50" s="15" t="s">
        <v>40</v>
      </c>
      <c r="B50" s="15" t="s">
        <v>347</v>
      </c>
      <c r="C50" s="15" t="s">
        <v>371</v>
      </c>
    </row>
    <row r="51" spans="1:3">
      <c r="A51" s="15" t="s">
        <v>40</v>
      </c>
      <c r="B51" s="15" t="s">
        <v>349</v>
      </c>
      <c r="C51" s="15" t="s">
        <v>371</v>
      </c>
    </row>
    <row r="52" spans="1:3">
      <c r="A52" s="15" t="s">
        <v>40</v>
      </c>
      <c r="B52" s="15" t="s">
        <v>350</v>
      </c>
      <c r="C52" s="15" t="s">
        <v>371</v>
      </c>
    </row>
    <row r="53" spans="1:3">
      <c r="A53" s="15" t="s">
        <v>40</v>
      </c>
      <c r="B53" s="15" t="s">
        <v>345</v>
      </c>
      <c r="C53" s="15" t="s">
        <v>371</v>
      </c>
    </row>
    <row r="54" spans="1:3">
      <c r="A54" s="15" t="s">
        <v>40</v>
      </c>
      <c r="B54" s="15" t="s">
        <v>346</v>
      </c>
      <c r="C54" s="15" t="s">
        <v>371</v>
      </c>
    </row>
    <row r="55" spans="1:3">
      <c r="A55" s="15" t="s">
        <v>43</v>
      </c>
      <c r="B55" s="15" t="s">
        <v>351</v>
      </c>
      <c r="C55" s="15" t="s">
        <v>371</v>
      </c>
    </row>
    <row r="56" spans="1:3">
      <c r="A56" s="15" t="s">
        <v>43</v>
      </c>
      <c r="B56" s="15" t="s">
        <v>352</v>
      </c>
      <c r="C56" s="15" t="s">
        <v>371</v>
      </c>
    </row>
    <row r="57" spans="1:3">
      <c r="A57" s="15" t="s">
        <v>43</v>
      </c>
      <c r="B57" s="15" t="s">
        <v>353</v>
      </c>
      <c r="C57" s="15" t="s">
        <v>371</v>
      </c>
    </row>
    <row r="58" spans="1:3">
      <c r="A58" s="15" t="s">
        <v>43</v>
      </c>
      <c r="B58" s="15" t="s">
        <v>354</v>
      </c>
      <c r="C58" s="15" t="s">
        <v>371</v>
      </c>
    </row>
    <row r="59" spans="1:3">
      <c r="A59" s="15" t="s">
        <v>43</v>
      </c>
      <c r="B59" s="15" t="s">
        <v>355</v>
      </c>
      <c r="C59" s="15" t="s">
        <v>371</v>
      </c>
    </row>
    <row r="60" spans="1:3">
      <c r="A60" s="15" t="s">
        <v>43</v>
      </c>
      <c r="B60" s="15" t="s">
        <v>343</v>
      </c>
      <c r="C60" s="15" t="s">
        <v>371</v>
      </c>
    </row>
    <row r="61" spans="1:3">
      <c r="A61" s="15" t="s">
        <v>46</v>
      </c>
      <c r="B61" s="15" t="s">
        <v>356</v>
      </c>
      <c r="C61" s="15" t="s">
        <v>371</v>
      </c>
    </row>
    <row r="62" spans="1:3">
      <c r="A62" s="15" t="s">
        <v>46</v>
      </c>
      <c r="B62" s="15" t="s">
        <v>357</v>
      </c>
      <c r="C62" s="15" t="s">
        <v>371</v>
      </c>
    </row>
    <row r="63" spans="1:3">
      <c r="A63" s="15" t="s">
        <v>46</v>
      </c>
      <c r="B63" s="15" t="s">
        <v>358</v>
      </c>
      <c r="C63" s="15" t="s">
        <v>371</v>
      </c>
    </row>
    <row r="64" spans="1:3">
      <c r="A64" s="15" t="s">
        <v>46</v>
      </c>
      <c r="B64" s="15" t="s">
        <v>359</v>
      </c>
      <c r="C64" s="15" t="s">
        <v>371</v>
      </c>
    </row>
    <row r="65" spans="1:3">
      <c r="A65" s="15" t="s">
        <v>49</v>
      </c>
      <c r="B65" s="15" t="s">
        <v>360</v>
      </c>
      <c r="C65" s="15" t="s">
        <v>371</v>
      </c>
    </row>
    <row r="66" spans="1:3">
      <c r="A66" s="15" t="s">
        <v>49</v>
      </c>
      <c r="B66" s="15" t="s">
        <v>361</v>
      </c>
      <c r="C66" s="15" t="s">
        <v>371</v>
      </c>
    </row>
    <row r="67" spans="1:3">
      <c r="A67" s="15" t="s">
        <v>49</v>
      </c>
      <c r="B67" s="15" t="s">
        <v>362</v>
      </c>
      <c r="C67" s="15" t="s">
        <v>371</v>
      </c>
    </row>
    <row r="68" spans="1:3">
      <c r="A68" s="15" t="s">
        <v>49</v>
      </c>
      <c r="B68" s="15" t="s">
        <v>363</v>
      </c>
      <c r="C68" s="15" t="s">
        <v>371</v>
      </c>
    </row>
    <row r="69" spans="1:3">
      <c r="A69" s="15" t="s">
        <v>49</v>
      </c>
      <c r="B69" s="15" t="s">
        <v>364</v>
      </c>
      <c r="C69" s="15" t="s">
        <v>371</v>
      </c>
    </row>
    <row r="70" spans="1:3">
      <c r="A70" s="15" t="s">
        <v>49</v>
      </c>
      <c r="B70" s="15" t="s">
        <v>365</v>
      </c>
      <c r="C70" s="15" t="s">
        <v>371</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dimension ref="A1:C33"/>
  <sheetViews>
    <sheetView workbookViewId="0">
      <selection activeCell="D1" sqref="D1:D1048576"/>
    </sheetView>
  </sheetViews>
  <sheetFormatPr defaultRowHeight="15"/>
  <cols>
    <col min="1" max="1" width="58" style="13" customWidth="1"/>
    <col min="2" max="2" width="59.42578125" style="13" customWidth="1"/>
    <col min="3" max="3" width="12.5703125" style="13" customWidth="1"/>
    <col min="4" max="4" width="11.85546875" style="13" customWidth="1"/>
    <col min="5" max="16384" width="9.140625" style="13"/>
  </cols>
  <sheetData>
    <row r="1" spans="1:3" s="15" customFormat="1" ht="23.25">
      <c r="A1" s="18" t="s">
        <v>372</v>
      </c>
    </row>
    <row r="2" spans="1:3" s="15" customFormat="1" ht="15.75">
      <c r="A2" s="14" t="s">
        <v>368</v>
      </c>
      <c r="B2" s="14"/>
      <c r="C2" s="14" t="s">
        <v>369</v>
      </c>
    </row>
    <row r="3" spans="1:3" s="15" customFormat="1" ht="15.75">
      <c r="A3" s="20" t="s">
        <v>366</v>
      </c>
      <c r="B3" s="20" t="s">
        <v>367</v>
      </c>
      <c r="C3" s="20" t="s">
        <v>370</v>
      </c>
    </row>
    <row r="4" spans="1:3">
      <c r="A4" s="13" t="s">
        <v>53</v>
      </c>
      <c r="B4" s="13" t="s">
        <v>373</v>
      </c>
      <c r="C4" s="13" t="s">
        <v>371</v>
      </c>
    </row>
    <row r="5" spans="1:3">
      <c r="A5" s="13" t="s">
        <v>53</v>
      </c>
      <c r="B5" s="13" t="s">
        <v>374</v>
      </c>
      <c r="C5" s="13" t="s">
        <v>371</v>
      </c>
    </row>
    <row r="6" spans="1:3">
      <c r="A6" s="13" t="s">
        <v>53</v>
      </c>
      <c r="B6" s="13" t="s">
        <v>375</v>
      </c>
      <c r="C6" s="13" t="s">
        <v>371</v>
      </c>
    </row>
    <row r="7" spans="1:3">
      <c r="A7" s="13" t="s">
        <v>53</v>
      </c>
      <c r="B7" s="13" t="s">
        <v>376</v>
      </c>
      <c r="C7" s="13" t="s">
        <v>371</v>
      </c>
    </row>
    <row r="8" spans="1:3">
      <c r="A8" s="13" t="s">
        <v>53</v>
      </c>
      <c r="B8" s="13" t="s">
        <v>377</v>
      </c>
      <c r="C8" s="13" t="s">
        <v>371</v>
      </c>
    </row>
    <row r="9" spans="1:3">
      <c r="A9" s="13" t="s">
        <v>53</v>
      </c>
      <c r="B9" s="13" t="s">
        <v>378</v>
      </c>
      <c r="C9" s="13" t="s">
        <v>371</v>
      </c>
    </row>
    <row r="10" spans="1:3">
      <c r="A10" s="13" t="s">
        <v>56</v>
      </c>
      <c r="B10" s="13" t="s">
        <v>379</v>
      </c>
      <c r="C10" s="13" t="s">
        <v>371</v>
      </c>
    </row>
    <row r="11" spans="1:3">
      <c r="A11" s="13" t="s">
        <v>56</v>
      </c>
      <c r="B11" s="13" t="s">
        <v>377</v>
      </c>
      <c r="C11" s="13" t="s">
        <v>371</v>
      </c>
    </row>
    <row r="12" spans="1:3">
      <c r="A12" s="13" t="s">
        <v>56</v>
      </c>
      <c r="B12" s="13" t="s">
        <v>334</v>
      </c>
      <c r="C12" s="13" t="s">
        <v>371</v>
      </c>
    </row>
    <row r="13" spans="1:3">
      <c r="A13" s="13" t="s">
        <v>56</v>
      </c>
      <c r="B13" s="13" t="s">
        <v>380</v>
      </c>
      <c r="C13" s="13" t="s">
        <v>371</v>
      </c>
    </row>
    <row r="14" spans="1:3">
      <c r="A14" s="13" t="s">
        <v>56</v>
      </c>
      <c r="B14" s="13" t="s">
        <v>381</v>
      </c>
      <c r="C14" s="13" t="s">
        <v>371</v>
      </c>
    </row>
    <row r="15" spans="1:3">
      <c r="A15" s="13" t="s">
        <v>56</v>
      </c>
      <c r="B15" s="13" t="s">
        <v>382</v>
      </c>
      <c r="C15" s="13" t="s">
        <v>371</v>
      </c>
    </row>
    <row r="16" spans="1:3">
      <c r="A16" s="13" t="s">
        <v>56</v>
      </c>
      <c r="B16" s="13" t="s">
        <v>383</v>
      </c>
      <c r="C16" s="13" t="s">
        <v>371</v>
      </c>
    </row>
    <row r="17" spans="1:3">
      <c r="A17" s="13" t="s">
        <v>56</v>
      </c>
      <c r="B17" s="13" t="s">
        <v>384</v>
      </c>
      <c r="C17" s="13" t="s">
        <v>371</v>
      </c>
    </row>
    <row r="18" spans="1:3">
      <c r="A18" s="13" t="s">
        <v>59</v>
      </c>
      <c r="B18" s="13" t="s">
        <v>385</v>
      </c>
      <c r="C18" s="13" t="s">
        <v>371</v>
      </c>
    </row>
    <row r="19" spans="1:3">
      <c r="A19" s="13" t="s">
        <v>59</v>
      </c>
      <c r="B19" s="13" t="s">
        <v>386</v>
      </c>
      <c r="C19" s="13" t="s">
        <v>371</v>
      </c>
    </row>
    <row r="20" spans="1:3">
      <c r="A20" s="13" t="s">
        <v>62</v>
      </c>
      <c r="B20" s="13" t="s">
        <v>387</v>
      </c>
      <c r="C20" s="13" t="s">
        <v>371</v>
      </c>
    </row>
    <row r="21" spans="1:3">
      <c r="A21" s="13" t="s">
        <v>62</v>
      </c>
      <c r="B21" s="13" t="s">
        <v>388</v>
      </c>
      <c r="C21" s="13" t="s">
        <v>371</v>
      </c>
    </row>
    <row r="22" spans="1:3">
      <c r="A22" s="13" t="s">
        <v>62</v>
      </c>
      <c r="B22" s="13" t="s">
        <v>389</v>
      </c>
      <c r="C22" s="13" t="s">
        <v>371</v>
      </c>
    </row>
    <row r="23" spans="1:3">
      <c r="A23" s="13" t="s">
        <v>62</v>
      </c>
      <c r="B23" s="13" t="s">
        <v>390</v>
      </c>
      <c r="C23" s="13" t="s">
        <v>371</v>
      </c>
    </row>
    <row r="24" spans="1:3">
      <c r="A24" s="13" t="s">
        <v>62</v>
      </c>
      <c r="B24" s="13" t="s">
        <v>391</v>
      </c>
      <c r="C24" s="13" t="s">
        <v>371</v>
      </c>
    </row>
    <row r="25" spans="1:3">
      <c r="A25" s="13" t="s">
        <v>62</v>
      </c>
      <c r="B25" s="13" t="s">
        <v>392</v>
      </c>
      <c r="C25" s="13" t="s">
        <v>371</v>
      </c>
    </row>
    <row r="26" spans="1:3">
      <c r="A26" s="13" t="s">
        <v>62</v>
      </c>
      <c r="B26" s="13" t="s">
        <v>393</v>
      </c>
      <c r="C26" s="13" t="s">
        <v>371</v>
      </c>
    </row>
    <row r="27" spans="1:3">
      <c r="A27" s="13" t="s">
        <v>65</v>
      </c>
      <c r="B27" s="13" t="s">
        <v>394</v>
      </c>
      <c r="C27" s="13" t="s">
        <v>371</v>
      </c>
    </row>
    <row r="28" spans="1:3">
      <c r="A28" s="13" t="s">
        <v>65</v>
      </c>
      <c r="B28" s="13" t="s">
        <v>395</v>
      </c>
      <c r="C28" s="13" t="s">
        <v>371</v>
      </c>
    </row>
    <row r="29" spans="1:3">
      <c r="A29" s="13" t="s">
        <v>65</v>
      </c>
      <c r="B29" s="13" t="s">
        <v>396</v>
      </c>
      <c r="C29" s="13" t="s">
        <v>371</v>
      </c>
    </row>
    <row r="30" spans="1:3">
      <c r="A30" s="13" t="s">
        <v>65</v>
      </c>
      <c r="B30" s="13" t="s">
        <v>397</v>
      </c>
      <c r="C30" s="13" t="s">
        <v>371</v>
      </c>
    </row>
    <row r="31" spans="1:3">
      <c r="A31" s="13" t="s">
        <v>65</v>
      </c>
      <c r="B31" s="13" t="s">
        <v>398</v>
      </c>
      <c r="C31" s="13" t="s">
        <v>371</v>
      </c>
    </row>
    <row r="32" spans="1:3">
      <c r="A32" s="13" t="s">
        <v>65</v>
      </c>
      <c r="B32" s="13" t="s">
        <v>399</v>
      </c>
      <c r="C32" s="13" t="s">
        <v>371</v>
      </c>
    </row>
    <row r="33" spans="1:3">
      <c r="A33" s="13" t="s">
        <v>65</v>
      </c>
      <c r="B33" s="13" t="s">
        <v>400</v>
      </c>
      <c r="C33" s="13" t="s">
        <v>371</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dimension ref="A1:C27"/>
  <sheetViews>
    <sheetView workbookViewId="0">
      <selection activeCell="C7" sqref="C7"/>
    </sheetView>
  </sheetViews>
  <sheetFormatPr defaultRowHeight="15"/>
  <cols>
    <col min="1" max="1" width="36.42578125" style="13" customWidth="1"/>
    <col min="2" max="2" width="41.7109375" style="13" customWidth="1"/>
    <col min="3" max="3" width="12.42578125" style="13" customWidth="1"/>
  </cols>
  <sheetData>
    <row r="1" spans="1:3" s="15" customFormat="1" ht="23.25">
      <c r="A1" s="18" t="s">
        <v>372</v>
      </c>
    </row>
    <row r="2" spans="1:3" s="15" customFormat="1" ht="15.75">
      <c r="A2" s="14" t="s">
        <v>368</v>
      </c>
      <c r="B2" s="14"/>
      <c r="C2" s="14" t="s">
        <v>369</v>
      </c>
    </row>
    <row r="3" spans="1:3" s="15" customFormat="1" ht="15.75">
      <c r="A3" s="20" t="s">
        <v>366</v>
      </c>
      <c r="B3" s="20" t="s">
        <v>367</v>
      </c>
      <c r="C3" s="20" t="s">
        <v>370</v>
      </c>
    </row>
    <row r="4" spans="1:3">
      <c r="A4" s="13" t="s">
        <v>69</v>
      </c>
      <c r="B4" s="13" t="s">
        <v>401</v>
      </c>
      <c r="C4" s="13" t="s">
        <v>371</v>
      </c>
    </row>
    <row r="5" spans="1:3">
      <c r="B5" s="13" t="s">
        <v>303</v>
      </c>
      <c r="C5" s="13" t="s">
        <v>371</v>
      </c>
    </row>
    <row r="6" spans="1:3">
      <c r="B6" s="13" t="s">
        <v>402</v>
      </c>
      <c r="C6" s="13" t="s">
        <v>371</v>
      </c>
    </row>
    <row r="7" spans="1:3">
      <c r="B7" s="13" t="s">
        <v>403</v>
      </c>
      <c r="C7" s="13" t="s">
        <v>371</v>
      </c>
    </row>
    <row r="8" spans="1:3">
      <c r="B8" s="13" t="s">
        <v>404</v>
      </c>
      <c r="C8" s="13" t="s">
        <v>371</v>
      </c>
    </row>
    <row r="9" spans="1:3">
      <c r="B9" s="13" t="s">
        <v>405</v>
      </c>
      <c r="C9" s="13" t="s">
        <v>371</v>
      </c>
    </row>
    <row r="10" spans="1:3">
      <c r="B10" s="13" t="s">
        <v>406</v>
      </c>
      <c r="C10" s="13" t="s">
        <v>371</v>
      </c>
    </row>
    <row r="11" spans="1:3">
      <c r="A11" s="13" t="s">
        <v>72</v>
      </c>
      <c r="B11" s="13" t="s">
        <v>407</v>
      </c>
      <c r="C11" s="13" t="s">
        <v>371</v>
      </c>
    </row>
    <row r="12" spans="1:3">
      <c r="B12" s="13" t="s">
        <v>408</v>
      </c>
      <c r="C12" s="13" t="s">
        <v>371</v>
      </c>
    </row>
    <row r="13" spans="1:3">
      <c r="B13" s="13" t="s">
        <v>409</v>
      </c>
      <c r="C13" s="13" t="s">
        <v>371</v>
      </c>
    </row>
    <row r="14" spans="1:3">
      <c r="B14" s="13" t="s">
        <v>410</v>
      </c>
      <c r="C14" s="13" t="s">
        <v>371</v>
      </c>
    </row>
    <row r="15" spans="1:3">
      <c r="B15" s="13" t="s">
        <v>411</v>
      </c>
      <c r="C15" s="13" t="s">
        <v>371</v>
      </c>
    </row>
    <row r="16" spans="1:3">
      <c r="B16" s="13" t="s">
        <v>412</v>
      </c>
      <c r="C16" s="13" t="s">
        <v>371</v>
      </c>
    </row>
    <row r="17" spans="1:3">
      <c r="A17" s="13" t="s">
        <v>75</v>
      </c>
      <c r="B17" s="13" t="s">
        <v>413</v>
      </c>
      <c r="C17" s="13" t="s">
        <v>371</v>
      </c>
    </row>
    <row r="18" spans="1:3">
      <c r="B18" s="13" t="s">
        <v>414</v>
      </c>
      <c r="C18" s="13" t="s">
        <v>371</v>
      </c>
    </row>
    <row r="19" spans="1:3">
      <c r="B19" s="13" t="s">
        <v>415</v>
      </c>
      <c r="C19" s="13" t="s">
        <v>371</v>
      </c>
    </row>
    <row r="20" spans="1:3">
      <c r="B20" s="13" t="s">
        <v>416</v>
      </c>
      <c r="C20" s="13" t="s">
        <v>371</v>
      </c>
    </row>
    <row r="21" spans="1:3">
      <c r="B21" s="13" t="s">
        <v>417</v>
      </c>
      <c r="C21" s="13" t="s">
        <v>371</v>
      </c>
    </row>
    <row r="22" spans="1:3">
      <c r="A22" s="13" t="s">
        <v>78</v>
      </c>
      <c r="B22" s="13" t="s">
        <v>418</v>
      </c>
      <c r="C22" s="13" t="s">
        <v>371</v>
      </c>
    </row>
    <row r="23" spans="1:3">
      <c r="B23" s="13" t="s">
        <v>419</v>
      </c>
      <c r="C23" s="13" t="s">
        <v>371</v>
      </c>
    </row>
    <row r="24" spans="1:3">
      <c r="B24" s="13" t="s">
        <v>420</v>
      </c>
      <c r="C24" s="13" t="s">
        <v>371</v>
      </c>
    </row>
    <row r="25" spans="1:3">
      <c r="B25" s="13" t="s">
        <v>421</v>
      </c>
      <c r="C25" s="13" t="s">
        <v>371</v>
      </c>
    </row>
    <row r="26" spans="1:3">
      <c r="B26" s="13" t="s">
        <v>422</v>
      </c>
      <c r="C26" s="13" t="s">
        <v>371</v>
      </c>
    </row>
    <row r="27" spans="1:3">
      <c r="B27" s="13" t="s">
        <v>423</v>
      </c>
      <c r="C27" s="13" t="s">
        <v>371</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dimension ref="A1:C29"/>
  <sheetViews>
    <sheetView workbookViewId="0">
      <selection activeCell="F15" sqref="F15"/>
    </sheetView>
  </sheetViews>
  <sheetFormatPr defaultRowHeight="15"/>
  <cols>
    <col min="1" max="1" width="42.28515625" style="13" customWidth="1"/>
    <col min="2" max="2" width="45.28515625" style="13" customWidth="1"/>
    <col min="3" max="3" width="13" style="13" customWidth="1"/>
  </cols>
  <sheetData>
    <row r="1" spans="1:3" s="15" customFormat="1" ht="23.25">
      <c r="A1" s="18" t="s">
        <v>372</v>
      </c>
    </row>
    <row r="2" spans="1:3" s="15" customFormat="1" ht="15.75">
      <c r="A2" s="14" t="s">
        <v>368</v>
      </c>
      <c r="B2" s="14"/>
      <c r="C2" s="14" t="s">
        <v>369</v>
      </c>
    </row>
    <row r="3" spans="1:3" s="15" customFormat="1" ht="15.75">
      <c r="A3" s="20" t="s">
        <v>366</v>
      </c>
      <c r="B3" s="20" t="s">
        <v>367</v>
      </c>
      <c r="C3" s="20" t="s">
        <v>370</v>
      </c>
    </row>
    <row r="4" spans="1:3">
      <c r="A4" s="13" t="s">
        <v>82</v>
      </c>
      <c r="B4" s="13" t="s">
        <v>424</v>
      </c>
      <c r="C4" s="13" t="s">
        <v>371</v>
      </c>
    </row>
    <row r="5" spans="1:3">
      <c r="A5" s="13" t="s">
        <v>82</v>
      </c>
      <c r="B5" s="13" t="s">
        <v>425</v>
      </c>
      <c r="C5" s="13" t="s">
        <v>371</v>
      </c>
    </row>
    <row r="6" spans="1:3">
      <c r="A6" s="13" t="s">
        <v>82</v>
      </c>
      <c r="B6" s="13" t="s">
        <v>426</v>
      </c>
      <c r="C6" s="13" t="s">
        <v>371</v>
      </c>
    </row>
    <row r="7" spans="1:3">
      <c r="A7" s="13" t="s">
        <v>82</v>
      </c>
      <c r="B7" s="13" t="s">
        <v>427</v>
      </c>
      <c r="C7" s="13" t="s">
        <v>371</v>
      </c>
    </row>
    <row r="8" spans="1:3">
      <c r="A8" s="13" t="s">
        <v>82</v>
      </c>
      <c r="B8" s="13" t="s">
        <v>428</v>
      </c>
      <c r="C8" s="13" t="s">
        <v>371</v>
      </c>
    </row>
    <row r="9" spans="1:3">
      <c r="A9" s="13" t="s">
        <v>85</v>
      </c>
      <c r="B9" s="13" t="s">
        <v>429</v>
      </c>
      <c r="C9" s="13" t="s">
        <v>371</v>
      </c>
    </row>
    <row r="10" spans="1:3">
      <c r="A10" s="13" t="s">
        <v>85</v>
      </c>
      <c r="B10" s="13" t="s">
        <v>430</v>
      </c>
      <c r="C10" s="13" t="s">
        <v>371</v>
      </c>
    </row>
    <row r="11" spans="1:3">
      <c r="A11" s="13" t="s">
        <v>85</v>
      </c>
      <c r="B11" s="13" t="s">
        <v>431</v>
      </c>
      <c r="C11" s="13" t="s">
        <v>371</v>
      </c>
    </row>
    <row r="12" spans="1:3">
      <c r="A12" s="13" t="s">
        <v>85</v>
      </c>
      <c r="B12" s="13" t="s">
        <v>411</v>
      </c>
      <c r="C12" s="13" t="s">
        <v>371</v>
      </c>
    </row>
    <row r="13" spans="1:3">
      <c r="A13" s="13" t="s">
        <v>85</v>
      </c>
      <c r="B13" s="13" t="s">
        <v>432</v>
      </c>
      <c r="C13" s="13" t="s">
        <v>371</v>
      </c>
    </row>
    <row r="14" spans="1:3">
      <c r="A14" s="13" t="s">
        <v>88</v>
      </c>
      <c r="B14" s="13" t="s">
        <v>433</v>
      </c>
      <c r="C14" s="13" t="s">
        <v>371</v>
      </c>
    </row>
    <row r="15" spans="1:3">
      <c r="A15" s="13" t="s">
        <v>88</v>
      </c>
      <c r="B15" s="13" t="s">
        <v>408</v>
      </c>
      <c r="C15" s="13" t="s">
        <v>371</v>
      </c>
    </row>
    <row r="16" spans="1:3">
      <c r="A16" s="13" t="s">
        <v>88</v>
      </c>
      <c r="B16" s="13" t="s">
        <v>411</v>
      </c>
      <c r="C16" s="13" t="s">
        <v>371</v>
      </c>
    </row>
    <row r="17" spans="1:3">
      <c r="A17" s="13" t="s">
        <v>88</v>
      </c>
      <c r="B17" s="13" t="s">
        <v>434</v>
      </c>
      <c r="C17" s="13" t="s">
        <v>371</v>
      </c>
    </row>
    <row r="18" spans="1:3">
      <c r="A18" s="13" t="s">
        <v>88</v>
      </c>
      <c r="B18" s="13" t="s">
        <v>435</v>
      </c>
      <c r="C18" s="13" t="s">
        <v>371</v>
      </c>
    </row>
    <row r="19" spans="1:3">
      <c r="A19" s="13" t="s">
        <v>88</v>
      </c>
      <c r="B19" s="13" t="s">
        <v>436</v>
      </c>
      <c r="C19" s="13" t="s">
        <v>371</v>
      </c>
    </row>
    <row r="20" spans="1:3">
      <c r="A20" s="13" t="s">
        <v>88</v>
      </c>
      <c r="B20" s="13" t="s">
        <v>437</v>
      </c>
      <c r="C20" s="13" t="s">
        <v>371</v>
      </c>
    </row>
    <row r="21" spans="1:3">
      <c r="A21" s="13" t="s">
        <v>88</v>
      </c>
      <c r="B21" s="13" t="s">
        <v>438</v>
      </c>
      <c r="C21" s="13" t="s">
        <v>371</v>
      </c>
    </row>
    <row r="22" spans="1:3">
      <c r="A22" s="13" t="s">
        <v>88</v>
      </c>
      <c r="B22" s="13" t="s">
        <v>439</v>
      </c>
      <c r="C22" s="13" t="s">
        <v>371</v>
      </c>
    </row>
    <row r="23" spans="1:3">
      <c r="A23" s="13" t="s">
        <v>88</v>
      </c>
      <c r="B23" s="13" t="s">
        <v>440</v>
      </c>
      <c r="C23" s="13" t="s">
        <v>371</v>
      </c>
    </row>
    <row r="24" spans="1:3">
      <c r="A24" s="13" t="s">
        <v>94</v>
      </c>
      <c r="B24" s="13" t="s">
        <v>441</v>
      </c>
      <c r="C24" s="13" t="s">
        <v>371</v>
      </c>
    </row>
    <row r="25" spans="1:3">
      <c r="A25" s="13" t="s">
        <v>94</v>
      </c>
      <c r="B25" s="13" t="s">
        <v>442</v>
      </c>
      <c r="C25" s="13" t="s">
        <v>371</v>
      </c>
    </row>
    <row r="26" spans="1:3">
      <c r="A26" s="13" t="s">
        <v>94</v>
      </c>
      <c r="B26" s="13" t="s">
        <v>443</v>
      </c>
      <c r="C26" s="13" t="s">
        <v>371</v>
      </c>
    </row>
    <row r="27" spans="1:3">
      <c r="A27" s="13" t="s">
        <v>94</v>
      </c>
      <c r="B27" s="13" t="s">
        <v>444</v>
      </c>
      <c r="C27" s="13" t="s">
        <v>371</v>
      </c>
    </row>
    <row r="28" spans="1:3">
      <c r="A28" s="13" t="s">
        <v>94</v>
      </c>
      <c r="B28" s="13" t="s">
        <v>445</v>
      </c>
      <c r="C28" s="13" t="s">
        <v>371</v>
      </c>
    </row>
    <row r="29" spans="1:3">
      <c r="A29" s="13" t="s">
        <v>94</v>
      </c>
      <c r="B29" s="13" t="s">
        <v>446</v>
      </c>
      <c r="C29" s="13" t="s">
        <v>371</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dimension ref="A1:D311"/>
  <sheetViews>
    <sheetView workbookViewId="0">
      <selection activeCell="D311" sqref="D311"/>
    </sheetView>
  </sheetViews>
  <sheetFormatPr defaultRowHeight="15"/>
  <cols>
    <col min="1" max="1" width="34.85546875" style="13" customWidth="1"/>
    <col min="2" max="2" width="41.85546875" style="13" customWidth="1"/>
    <col min="3" max="3" width="53.28515625" style="13" customWidth="1"/>
    <col min="4" max="4" width="11.85546875" style="13" customWidth="1"/>
    <col min="5" max="16384" width="9.140625" style="13"/>
  </cols>
  <sheetData>
    <row r="1" spans="1:4" s="15" customFormat="1" ht="23.25">
      <c r="A1" s="18" t="s">
        <v>372</v>
      </c>
    </row>
    <row r="2" spans="1:4" s="15" customFormat="1" ht="15.75">
      <c r="A2" s="14" t="s">
        <v>368</v>
      </c>
      <c r="B2" s="14"/>
      <c r="C2" s="14"/>
      <c r="D2" s="14" t="s">
        <v>369</v>
      </c>
    </row>
    <row r="3" spans="1:4" s="15" customFormat="1" ht="15.75">
      <c r="A3" s="20" t="s">
        <v>757</v>
      </c>
      <c r="B3" s="20" t="s">
        <v>367</v>
      </c>
      <c r="C3" s="20" t="s">
        <v>758</v>
      </c>
      <c r="D3" s="20" t="s">
        <v>370</v>
      </c>
    </row>
    <row r="4" spans="1:4">
      <c r="A4" s="13" t="s">
        <v>98</v>
      </c>
      <c r="B4" s="13" t="s">
        <v>102</v>
      </c>
      <c r="C4" s="27" t="s">
        <v>447</v>
      </c>
      <c r="D4" s="13" t="s">
        <v>371</v>
      </c>
    </row>
    <row r="5" spans="1:4">
      <c r="A5" s="13" t="s">
        <v>98</v>
      </c>
      <c r="B5" s="13" t="s">
        <v>102</v>
      </c>
      <c r="C5" s="13" t="s">
        <v>448</v>
      </c>
      <c r="D5" s="13" t="s">
        <v>371</v>
      </c>
    </row>
    <row r="6" spans="1:4">
      <c r="A6" s="13" t="s">
        <v>98</v>
      </c>
      <c r="B6" s="13" t="s">
        <v>102</v>
      </c>
      <c r="C6" s="13" t="s">
        <v>449</v>
      </c>
      <c r="D6" s="13" t="s">
        <v>371</v>
      </c>
    </row>
    <row r="7" spans="1:4">
      <c r="A7" s="13" t="s">
        <v>98</v>
      </c>
      <c r="B7" s="13" t="s">
        <v>102</v>
      </c>
      <c r="C7" s="13" t="s">
        <v>450</v>
      </c>
      <c r="D7" s="13" t="s">
        <v>371</v>
      </c>
    </row>
    <row r="8" spans="1:4">
      <c r="A8" s="13" t="s">
        <v>98</v>
      </c>
      <c r="B8" s="13" t="s">
        <v>102</v>
      </c>
      <c r="C8" s="27" t="s">
        <v>451</v>
      </c>
      <c r="D8" s="13" t="s">
        <v>371</v>
      </c>
    </row>
    <row r="9" spans="1:4">
      <c r="A9" s="13" t="s">
        <v>98</v>
      </c>
      <c r="B9" s="13" t="s">
        <v>102</v>
      </c>
      <c r="C9" s="13" t="s">
        <v>452</v>
      </c>
      <c r="D9" s="13" t="s">
        <v>371</v>
      </c>
    </row>
    <row r="10" spans="1:4">
      <c r="A10" s="13" t="s">
        <v>98</v>
      </c>
      <c r="B10" s="13" t="s">
        <v>105</v>
      </c>
      <c r="C10" s="13" t="s">
        <v>453</v>
      </c>
      <c r="D10" s="13" t="s">
        <v>371</v>
      </c>
    </row>
    <row r="11" spans="1:4">
      <c r="A11" s="13" t="s">
        <v>98</v>
      </c>
      <c r="B11" s="13" t="s">
        <v>105</v>
      </c>
      <c r="C11" s="13" t="s">
        <v>454</v>
      </c>
      <c r="D11" s="13" t="s">
        <v>371</v>
      </c>
    </row>
    <row r="12" spans="1:4">
      <c r="A12" s="13" t="s">
        <v>98</v>
      </c>
      <c r="B12" s="13" t="s">
        <v>105</v>
      </c>
      <c r="C12" s="13" t="s">
        <v>455</v>
      </c>
      <c r="D12" s="13" t="s">
        <v>371</v>
      </c>
    </row>
    <row r="13" spans="1:4">
      <c r="A13" s="13" t="s">
        <v>98</v>
      </c>
      <c r="B13" s="13" t="s">
        <v>105</v>
      </c>
      <c r="C13" s="13" t="s">
        <v>456</v>
      </c>
      <c r="D13" s="13" t="s">
        <v>371</v>
      </c>
    </row>
    <row r="14" spans="1:4">
      <c r="A14" s="13" t="s">
        <v>98</v>
      </c>
      <c r="B14" s="13" t="s">
        <v>105</v>
      </c>
      <c r="C14" s="13" t="s">
        <v>457</v>
      </c>
      <c r="D14" s="13" t="s">
        <v>371</v>
      </c>
    </row>
    <row r="15" spans="1:4">
      <c r="A15" s="13" t="s">
        <v>98</v>
      </c>
      <c r="B15" s="13" t="s">
        <v>105</v>
      </c>
      <c r="C15" s="13" t="s">
        <v>458</v>
      </c>
      <c r="D15" s="13" t="s">
        <v>371</v>
      </c>
    </row>
    <row r="16" spans="1:4">
      <c r="A16" s="13" t="s">
        <v>98</v>
      </c>
      <c r="B16" s="13" t="s">
        <v>108</v>
      </c>
      <c r="C16" s="13" t="s">
        <v>459</v>
      </c>
      <c r="D16" s="13" t="s">
        <v>371</v>
      </c>
    </row>
    <row r="17" spans="1:4">
      <c r="A17" s="13" t="s">
        <v>98</v>
      </c>
      <c r="B17" s="13" t="s">
        <v>108</v>
      </c>
      <c r="C17" s="13" t="s">
        <v>460</v>
      </c>
      <c r="D17" s="13" t="s">
        <v>371</v>
      </c>
    </row>
    <row r="18" spans="1:4">
      <c r="A18" s="13" t="s">
        <v>98</v>
      </c>
      <c r="B18" s="13" t="s">
        <v>108</v>
      </c>
      <c r="C18" s="13" t="s">
        <v>461</v>
      </c>
      <c r="D18" s="13" t="s">
        <v>371</v>
      </c>
    </row>
    <row r="19" spans="1:4">
      <c r="A19" s="13" t="s">
        <v>98</v>
      </c>
      <c r="B19" s="13" t="s">
        <v>108</v>
      </c>
      <c r="C19" s="13" t="s">
        <v>462</v>
      </c>
      <c r="D19" s="13" t="s">
        <v>371</v>
      </c>
    </row>
    <row r="20" spans="1:4">
      <c r="A20" s="13" t="s">
        <v>98</v>
      </c>
      <c r="B20" s="13" t="s">
        <v>108</v>
      </c>
      <c r="C20" s="13" t="s">
        <v>463</v>
      </c>
      <c r="D20" s="13" t="s">
        <v>371</v>
      </c>
    </row>
    <row r="21" spans="1:4">
      <c r="A21" s="13" t="s">
        <v>98</v>
      </c>
      <c r="B21" s="13" t="s">
        <v>108</v>
      </c>
      <c r="C21" s="13" t="s">
        <v>464</v>
      </c>
      <c r="D21" s="13" t="s">
        <v>371</v>
      </c>
    </row>
    <row r="22" spans="1:4">
      <c r="A22" s="13" t="s">
        <v>98</v>
      </c>
      <c r="B22" s="13" t="s">
        <v>111</v>
      </c>
      <c r="C22" s="13" t="s">
        <v>465</v>
      </c>
      <c r="D22" s="13" t="s">
        <v>371</v>
      </c>
    </row>
    <row r="23" spans="1:4">
      <c r="A23" s="13" t="s">
        <v>98</v>
      </c>
      <c r="B23" s="13" t="s">
        <v>111</v>
      </c>
      <c r="C23" s="13" t="s">
        <v>466</v>
      </c>
      <c r="D23" s="13" t="s">
        <v>371</v>
      </c>
    </row>
    <row r="24" spans="1:4">
      <c r="A24" s="13" t="s">
        <v>98</v>
      </c>
      <c r="B24" s="13" t="s">
        <v>111</v>
      </c>
      <c r="C24" s="13" t="s">
        <v>467</v>
      </c>
      <c r="D24" s="13" t="s">
        <v>371</v>
      </c>
    </row>
    <row r="25" spans="1:4">
      <c r="A25" s="13" t="s">
        <v>98</v>
      </c>
      <c r="B25" s="13" t="s">
        <v>111</v>
      </c>
      <c r="C25" s="13" t="s">
        <v>468</v>
      </c>
      <c r="D25" s="13" t="s">
        <v>371</v>
      </c>
    </row>
    <row r="26" spans="1:4">
      <c r="A26" s="13" t="s">
        <v>98</v>
      </c>
      <c r="B26" s="13" t="s">
        <v>111</v>
      </c>
      <c r="C26" s="13" t="s">
        <v>469</v>
      </c>
      <c r="D26" s="13" t="s">
        <v>371</v>
      </c>
    </row>
    <row r="27" spans="1:4">
      <c r="A27" s="13" t="s">
        <v>98</v>
      </c>
      <c r="B27" s="13" t="s">
        <v>111</v>
      </c>
      <c r="C27" s="13" t="s">
        <v>470</v>
      </c>
      <c r="D27" s="13" t="s">
        <v>371</v>
      </c>
    </row>
    <row r="28" spans="1:4">
      <c r="A28" s="13" t="s">
        <v>98</v>
      </c>
      <c r="B28" s="13" t="s">
        <v>111</v>
      </c>
      <c r="C28" s="13" t="s">
        <v>471</v>
      </c>
      <c r="D28" s="13" t="s">
        <v>371</v>
      </c>
    </row>
    <row r="29" spans="1:4">
      <c r="A29" s="13" t="s">
        <v>98</v>
      </c>
      <c r="B29" s="13" t="s">
        <v>114</v>
      </c>
      <c r="C29" s="27" t="s">
        <v>472</v>
      </c>
      <c r="D29" s="13" t="s">
        <v>371</v>
      </c>
    </row>
    <row r="30" spans="1:4">
      <c r="A30" s="13" t="s">
        <v>98</v>
      </c>
      <c r="B30" s="13" t="s">
        <v>114</v>
      </c>
      <c r="C30" s="27" t="s">
        <v>473</v>
      </c>
      <c r="D30" s="13" t="s">
        <v>371</v>
      </c>
    </row>
    <row r="31" spans="1:4">
      <c r="A31" s="13" t="s">
        <v>98</v>
      </c>
      <c r="B31" s="13" t="s">
        <v>114</v>
      </c>
      <c r="C31" s="27" t="s">
        <v>474</v>
      </c>
      <c r="D31" s="13" t="s">
        <v>371</v>
      </c>
    </row>
    <row r="32" spans="1:4">
      <c r="A32" s="13" t="s">
        <v>98</v>
      </c>
      <c r="B32" s="13" t="s">
        <v>114</v>
      </c>
      <c r="C32" s="27" t="s">
        <v>475</v>
      </c>
      <c r="D32" s="13" t="s">
        <v>371</v>
      </c>
    </row>
    <row r="33" spans="1:4">
      <c r="A33" s="13" t="s">
        <v>98</v>
      </c>
      <c r="B33" s="13" t="s">
        <v>114</v>
      </c>
      <c r="C33" s="27" t="s">
        <v>476</v>
      </c>
      <c r="D33" s="13" t="s">
        <v>371</v>
      </c>
    </row>
    <row r="34" spans="1:4">
      <c r="A34" s="13" t="s">
        <v>98</v>
      </c>
      <c r="B34" s="13" t="s">
        <v>114</v>
      </c>
      <c r="C34" s="27" t="s">
        <v>477</v>
      </c>
      <c r="D34" s="13" t="s">
        <v>371</v>
      </c>
    </row>
    <row r="35" spans="1:4">
      <c r="A35" s="13" t="s">
        <v>98</v>
      </c>
      <c r="B35" s="13" t="s">
        <v>114</v>
      </c>
      <c r="C35" s="27" t="s">
        <v>478</v>
      </c>
      <c r="D35" s="13" t="s">
        <v>371</v>
      </c>
    </row>
    <row r="36" spans="1:4">
      <c r="A36" s="13" t="s">
        <v>98</v>
      </c>
      <c r="B36" s="13" t="s">
        <v>114</v>
      </c>
      <c r="C36" s="27" t="s">
        <v>479</v>
      </c>
      <c r="D36" s="13" t="s">
        <v>371</v>
      </c>
    </row>
    <row r="37" spans="1:4">
      <c r="A37" s="13" t="s">
        <v>98</v>
      </c>
      <c r="B37" s="13" t="s">
        <v>114</v>
      </c>
      <c r="C37" s="27" t="s">
        <v>480</v>
      </c>
      <c r="D37" s="13" t="s">
        <v>371</v>
      </c>
    </row>
    <row r="38" spans="1:4">
      <c r="A38" s="13" t="s">
        <v>98</v>
      </c>
      <c r="B38" s="13" t="s">
        <v>117</v>
      </c>
      <c r="C38" s="13" t="s">
        <v>482</v>
      </c>
      <c r="D38" s="13" t="s">
        <v>371</v>
      </c>
    </row>
    <row r="39" spans="1:4">
      <c r="A39" s="13" t="s">
        <v>98</v>
      </c>
      <c r="B39" s="13" t="s">
        <v>117</v>
      </c>
      <c r="C39" s="13" t="s">
        <v>481</v>
      </c>
      <c r="D39" s="13" t="s">
        <v>371</v>
      </c>
    </row>
    <row r="40" spans="1:4">
      <c r="A40" s="13" t="s">
        <v>98</v>
      </c>
      <c r="B40" s="13" t="s">
        <v>117</v>
      </c>
      <c r="C40" s="13" t="s">
        <v>483</v>
      </c>
      <c r="D40" s="13" t="s">
        <v>371</v>
      </c>
    </row>
    <row r="41" spans="1:4">
      <c r="A41" s="13" t="s">
        <v>98</v>
      </c>
      <c r="B41" s="13" t="s">
        <v>117</v>
      </c>
      <c r="C41" s="13" t="s">
        <v>484</v>
      </c>
      <c r="D41" s="13" t="s">
        <v>371</v>
      </c>
    </row>
    <row r="42" spans="1:4">
      <c r="A42" s="13" t="s">
        <v>98</v>
      </c>
      <c r="B42" s="13" t="s">
        <v>117</v>
      </c>
      <c r="C42" s="13" t="s">
        <v>485</v>
      </c>
      <c r="D42" s="13" t="s">
        <v>371</v>
      </c>
    </row>
    <row r="43" spans="1:4">
      <c r="A43" s="13" t="s">
        <v>98</v>
      </c>
      <c r="B43" s="13" t="s">
        <v>117</v>
      </c>
      <c r="C43" s="13" t="s">
        <v>486</v>
      </c>
      <c r="D43" s="13" t="s">
        <v>371</v>
      </c>
    </row>
    <row r="44" spans="1:4">
      <c r="A44" s="13" t="s">
        <v>98</v>
      </c>
      <c r="B44" s="13" t="s">
        <v>119</v>
      </c>
      <c r="C44" s="13" t="s">
        <v>487</v>
      </c>
      <c r="D44" s="13" t="s">
        <v>371</v>
      </c>
    </row>
    <row r="45" spans="1:4">
      <c r="A45" s="13" t="s">
        <v>98</v>
      </c>
      <c r="B45" s="13" t="s">
        <v>119</v>
      </c>
      <c r="C45" s="13" t="s">
        <v>488</v>
      </c>
      <c r="D45" s="13" t="s">
        <v>371</v>
      </c>
    </row>
    <row r="46" spans="1:4">
      <c r="A46" s="13" t="s">
        <v>98</v>
      </c>
      <c r="B46" s="13" t="s">
        <v>119</v>
      </c>
      <c r="C46" s="13" t="s">
        <v>489</v>
      </c>
      <c r="D46" s="13" t="s">
        <v>371</v>
      </c>
    </row>
    <row r="47" spans="1:4">
      <c r="A47" s="13" t="s">
        <v>98</v>
      </c>
      <c r="B47" s="13" t="s">
        <v>119</v>
      </c>
      <c r="C47" s="13" t="s">
        <v>490</v>
      </c>
      <c r="D47" s="13" t="s">
        <v>371</v>
      </c>
    </row>
    <row r="48" spans="1:4">
      <c r="A48" s="13" t="s">
        <v>98</v>
      </c>
      <c r="B48" s="13" t="s">
        <v>119</v>
      </c>
      <c r="C48" s="13" t="s">
        <v>491</v>
      </c>
      <c r="D48" s="13" t="s">
        <v>371</v>
      </c>
    </row>
    <row r="49" spans="1:4">
      <c r="A49" s="13" t="s">
        <v>98</v>
      </c>
      <c r="B49" s="13" t="s">
        <v>119</v>
      </c>
      <c r="C49" s="13" t="s">
        <v>492</v>
      </c>
      <c r="D49" s="13" t="s">
        <v>371</v>
      </c>
    </row>
    <row r="50" spans="1:4">
      <c r="A50" s="13" t="s">
        <v>98</v>
      </c>
      <c r="B50" s="13" t="s">
        <v>119</v>
      </c>
      <c r="C50" s="13" t="s">
        <v>493</v>
      </c>
      <c r="D50" s="13" t="s">
        <v>371</v>
      </c>
    </row>
    <row r="51" spans="1:4">
      <c r="A51" s="13" t="s">
        <v>98</v>
      </c>
      <c r="B51" s="13" t="s">
        <v>119</v>
      </c>
      <c r="C51" s="13" t="s">
        <v>494</v>
      </c>
      <c r="D51" s="13" t="s">
        <v>371</v>
      </c>
    </row>
    <row r="52" spans="1:4">
      <c r="A52" s="13" t="s">
        <v>98</v>
      </c>
      <c r="B52" s="13" t="s">
        <v>122</v>
      </c>
      <c r="C52" s="13" t="s">
        <v>495</v>
      </c>
      <c r="D52" s="13" t="s">
        <v>371</v>
      </c>
    </row>
    <row r="53" spans="1:4">
      <c r="A53" s="13" t="s">
        <v>98</v>
      </c>
      <c r="B53" s="13" t="s">
        <v>122</v>
      </c>
      <c r="C53" s="13" t="s">
        <v>496</v>
      </c>
      <c r="D53" s="13" t="s">
        <v>371</v>
      </c>
    </row>
    <row r="54" spans="1:4">
      <c r="A54" s="13" t="s">
        <v>98</v>
      </c>
      <c r="B54" s="13" t="s">
        <v>122</v>
      </c>
      <c r="C54" s="13" t="s">
        <v>497</v>
      </c>
      <c r="D54" s="13" t="s">
        <v>371</v>
      </c>
    </row>
    <row r="55" spans="1:4">
      <c r="A55" s="13" t="s">
        <v>98</v>
      </c>
      <c r="B55" s="13" t="s">
        <v>122</v>
      </c>
      <c r="C55" s="13" t="s">
        <v>498</v>
      </c>
      <c r="D55" s="13" t="s">
        <v>371</v>
      </c>
    </row>
    <row r="56" spans="1:4">
      <c r="A56" s="13" t="s">
        <v>98</v>
      </c>
      <c r="B56" s="13" t="s">
        <v>125</v>
      </c>
      <c r="C56" s="13" t="s">
        <v>499</v>
      </c>
      <c r="D56" s="13" t="s">
        <v>371</v>
      </c>
    </row>
    <row r="57" spans="1:4">
      <c r="A57" s="13" t="s">
        <v>98</v>
      </c>
      <c r="B57" s="13" t="s">
        <v>125</v>
      </c>
      <c r="C57" s="13" t="s">
        <v>500</v>
      </c>
      <c r="D57" s="13" t="s">
        <v>371</v>
      </c>
    </row>
    <row r="58" spans="1:4">
      <c r="A58" s="13" t="s">
        <v>98</v>
      </c>
      <c r="B58" s="13" t="s">
        <v>125</v>
      </c>
      <c r="C58" s="13" t="s">
        <v>501</v>
      </c>
      <c r="D58" s="13" t="s">
        <v>371</v>
      </c>
    </row>
    <row r="59" spans="1:4">
      <c r="A59" s="13" t="s">
        <v>98</v>
      </c>
      <c r="B59" s="13" t="s">
        <v>125</v>
      </c>
      <c r="C59" s="13" t="s">
        <v>502</v>
      </c>
      <c r="D59" s="13" t="s">
        <v>371</v>
      </c>
    </row>
    <row r="60" spans="1:4">
      <c r="A60" s="13" t="s">
        <v>98</v>
      </c>
      <c r="B60" s="13" t="s">
        <v>125</v>
      </c>
      <c r="C60" s="13" t="s">
        <v>503</v>
      </c>
      <c r="D60" s="13" t="s">
        <v>371</v>
      </c>
    </row>
    <row r="61" spans="1:4">
      <c r="A61" s="13" t="s">
        <v>98</v>
      </c>
      <c r="B61" s="13" t="s">
        <v>125</v>
      </c>
      <c r="C61" s="13" t="s">
        <v>504</v>
      </c>
      <c r="D61" s="13" t="s">
        <v>371</v>
      </c>
    </row>
    <row r="62" spans="1:4">
      <c r="A62" s="13" t="s">
        <v>98</v>
      </c>
      <c r="B62" s="13" t="s">
        <v>125</v>
      </c>
      <c r="C62" s="13" t="s">
        <v>505</v>
      </c>
      <c r="D62" s="13" t="s">
        <v>371</v>
      </c>
    </row>
    <row r="63" spans="1:4">
      <c r="A63" s="13" t="s">
        <v>98</v>
      </c>
      <c r="B63" s="13" t="s">
        <v>125</v>
      </c>
      <c r="C63" s="13" t="s">
        <v>506</v>
      </c>
      <c r="D63" s="13" t="s">
        <v>371</v>
      </c>
    </row>
    <row r="64" spans="1:4">
      <c r="A64" s="13" t="s">
        <v>98</v>
      </c>
      <c r="B64" s="13" t="s">
        <v>128</v>
      </c>
      <c r="C64" s="13" t="s">
        <v>507</v>
      </c>
      <c r="D64" s="13" t="s">
        <v>371</v>
      </c>
    </row>
    <row r="65" spans="1:4">
      <c r="A65" s="13" t="s">
        <v>98</v>
      </c>
      <c r="B65" s="13" t="s">
        <v>128</v>
      </c>
      <c r="C65" s="13" t="s">
        <v>508</v>
      </c>
      <c r="D65" s="13" t="s">
        <v>371</v>
      </c>
    </row>
    <row r="66" spans="1:4">
      <c r="A66" s="13" t="s">
        <v>98</v>
      </c>
      <c r="B66" s="13" t="s">
        <v>128</v>
      </c>
      <c r="C66" s="13" t="s">
        <v>509</v>
      </c>
      <c r="D66" s="13" t="s">
        <v>371</v>
      </c>
    </row>
    <row r="67" spans="1:4">
      <c r="A67" s="13" t="s">
        <v>98</v>
      </c>
      <c r="B67" s="13" t="s">
        <v>128</v>
      </c>
      <c r="C67" s="13" t="s">
        <v>510</v>
      </c>
      <c r="D67" s="13" t="s">
        <v>371</v>
      </c>
    </row>
    <row r="68" spans="1:4">
      <c r="A68" s="13" t="s">
        <v>98</v>
      </c>
      <c r="B68" s="13" t="s">
        <v>128</v>
      </c>
      <c r="C68" s="13" t="s">
        <v>511</v>
      </c>
      <c r="D68" s="13" t="s">
        <v>371</v>
      </c>
    </row>
    <row r="69" spans="1:4">
      <c r="A69" s="13" t="s">
        <v>98</v>
      </c>
      <c r="B69" s="13" t="s">
        <v>128</v>
      </c>
      <c r="C69" s="13" t="s">
        <v>512</v>
      </c>
      <c r="D69" s="13" t="s">
        <v>371</v>
      </c>
    </row>
    <row r="70" spans="1:4">
      <c r="A70" s="13" t="s">
        <v>98</v>
      </c>
      <c r="B70" s="13" t="s">
        <v>128</v>
      </c>
      <c r="C70" s="13" t="s">
        <v>513</v>
      </c>
      <c r="D70" s="13" t="s">
        <v>371</v>
      </c>
    </row>
    <row r="71" spans="1:4">
      <c r="A71" s="13" t="s">
        <v>98</v>
      </c>
      <c r="B71" s="13" t="s">
        <v>131</v>
      </c>
      <c r="C71" s="13" t="s">
        <v>514</v>
      </c>
      <c r="D71" s="13" t="s">
        <v>371</v>
      </c>
    </row>
    <row r="72" spans="1:4">
      <c r="A72" s="13" t="s">
        <v>98</v>
      </c>
      <c r="B72" s="13" t="s">
        <v>131</v>
      </c>
      <c r="C72" s="13" t="s">
        <v>515</v>
      </c>
      <c r="D72" s="13" t="s">
        <v>371</v>
      </c>
    </row>
    <row r="73" spans="1:4">
      <c r="A73" s="13" t="s">
        <v>98</v>
      </c>
      <c r="B73" s="13" t="s">
        <v>131</v>
      </c>
      <c r="C73" s="13" t="s">
        <v>516</v>
      </c>
      <c r="D73" s="13" t="s">
        <v>371</v>
      </c>
    </row>
    <row r="74" spans="1:4">
      <c r="A74" s="13" t="s">
        <v>98</v>
      </c>
      <c r="B74" s="13" t="s">
        <v>131</v>
      </c>
      <c r="C74" s="13" t="s">
        <v>122</v>
      </c>
      <c r="D74" s="13" t="s">
        <v>371</v>
      </c>
    </row>
    <row r="75" spans="1:4">
      <c r="A75" s="13" t="s">
        <v>98</v>
      </c>
      <c r="B75" s="13" t="s">
        <v>131</v>
      </c>
      <c r="C75" s="13" t="s">
        <v>517</v>
      </c>
      <c r="D75" s="13" t="s">
        <v>371</v>
      </c>
    </row>
    <row r="76" spans="1:4">
      <c r="A76" s="13" t="s">
        <v>98</v>
      </c>
      <c r="B76" s="13" t="s">
        <v>131</v>
      </c>
      <c r="C76" s="13" t="s">
        <v>518</v>
      </c>
      <c r="D76" s="13" t="s">
        <v>371</v>
      </c>
    </row>
    <row r="77" spans="1:4">
      <c r="A77" s="13" t="s">
        <v>134</v>
      </c>
      <c r="B77" s="13" t="s">
        <v>135</v>
      </c>
      <c r="C77" s="27" t="s">
        <v>519</v>
      </c>
      <c r="D77" s="13" t="s">
        <v>371</v>
      </c>
    </row>
    <row r="78" spans="1:4">
      <c r="A78" s="13" t="s">
        <v>134</v>
      </c>
      <c r="B78" s="13" t="s">
        <v>135</v>
      </c>
      <c r="C78" s="13" t="s">
        <v>520</v>
      </c>
      <c r="D78" s="13" t="s">
        <v>371</v>
      </c>
    </row>
    <row r="79" spans="1:4">
      <c r="A79" s="13" t="s">
        <v>134</v>
      </c>
      <c r="B79" s="13" t="s">
        <v>135</v>
      </c>
      <c r="C79" s="27" t="s">
        <v>521</v>
      </c>
      <c r="D79" s="13" t="s">
        <v>371</v>
      </c>
    </row>
    <row r="80" spans="1:4">
      <c r="A80" s="13" t="s">
        <v>134</v>
      </c>
      <c r="B80" s="13" t="s">
        <v>135</v>
      </c>
      <c r="C80" s="13" t="s">
        <v>522</v>
      </c>
      <c r="D80" s="13" t="s">
        <v>371</v>
      </c>
    </row>
    <row r="81" spans="1:4">
      <c r="A81" s="13" t="s">
        <v>134</v>
      </c>
      <c r="B81" s="13" t="s">
        <v>135</v>
      </c>
      <c r="C81" s="27" t="s">
        <v>478</v>
      </c>
      <c r="D81" s="13" t="s">
        <v>371</v>
      </c>
    </row>
    <row r="82" spans="1:4">
      <c r="A82" s="13" t="s">
        <v>134</v>
      </c>
      <c r="B82" s="13" t="s">
        <v>135</v>
      </c>
      <c r="C82" s="27" t="s">
        <v>523</v>
      </c>
      <c r="D82" s="13" t="s">
        <v>371</v>
      </c>
    </row>
    <row r="83" spans="1:4">
      <c r="A83" s="13" t="s">
        <v>134</v>
      </c>
      <c r="B83" s="13" t="s">
        <v>135</v>
      </c>
      <c r="C83" s="13" t="s">
        <v>477</v>
      </c>
      <c r="D83" s="13" t="s">
        <v>371</v>
      </c>
    </row>
    <row r="84" spans="1:4">
      <c r="A84" s="13" t="s">
        <v>134</v>
      </c>
      <c r="B84" s="13" t="s">
        <v>135</v>
      </c>
      <c r="C84" s="27" t="s">
        <v>524</v>
      </c>
      <c r="D84" s="13" t="s">
        <v>371</v>
      </c>
    </row>
    <row r="85" spans="1:4">
      <c r="A85" s="13" t="s">
        <v>134</v>
      </c>
      <c r="B85" s="13" t="s">
        <v>135</v>
      </c>
      <c r="C85" s="27" t="s">
        <v>756</v>
      </c>
      <c r="D85" s="13" t="s">
        <v>371</v>
      </c>
    </row>
    <row r="86" spans="1:4">
      <c r="A86" s="13" t="s">
        <v>134</v>
      </c>
      <c r="B86" s="13" t="s">
        <v>138</v>
      </c>
      <c r="C86" s="13" t="s">
        <v>525</v>
      </c>
      <c r="D86" s="13" t="s">
        <v>371</v>
      </c>
    </row>
    <row r="87" spans="1:4">
      <c r="A87" s="13" t="s">
        <v>134</v>
      </c>
      <c r="B87" s="13" t="s">
        <v>138</v>
      </c>
      <c r="C87" s="13" t="s">
        <v>526</v>
      </c>
      <c r="D87" s="13" t="s">
        <v>371</v>
      </c>
    </row>
    <row r="88" spans="1:4">
      <c r="A88" s="13" t="s">
        <v>134</v>
      </c>
      <c r="B88" s="13" t="s">
        <v>138</v>
      </c>
      <c r="C88" s="13" t="s">
        <v>527</v>
      </c>
      <c r="D88" s="13" t="s">
        <v>371</v>
      </c>
    </row>
    <row r="89" spans="1:4">
      <c r="A89" s="13" t="s">
        <v>134</v>
      </c>
      <c r="B89" s="13" t="s">
        <v>138</v>
      </c>
      <c r="C89" s="13" t="s">
        <v>528</v>
      </c>
      <c r="D89" s="13" t="s">
        <v>371</v>
      </c>
    </row>
    <row r="90" spans="1:4">
      <c r="A90" s="13" t="s">
        <v>134</v>
      </c>
      <c r="B90" s="13" t="s">
        <v>138</v>
      </c>
      <c r="C90" s="13" t="s">
        <v>529</v>
      </c>
      <c r="D90" s="13" t="s">
        <v>371</v>
      </c>
    </row>
    <row r="91" spans="1:4">
      <c r="A91" s="13" t="s">
        <v>134</v>
      </c>
      <c r="B91" s="13" t="s">
        <v>138</v>
      </c>
      <c r="C91" s="13" t="s">
        <v>530</v>
      </c>
      <c r="D91" s="13" t="s">
        <v>371</v>
      </c>
    </row>
    <row r="92" spans="1:4">
      <c r="A92" s="13" t="s">
        <v>134</v>
      </c>
      <c r="B92" s="13" t="s">
        <v>138</v>
      </c>
      <c r="C92" s="13" t="s">
        <v>531</v>
      </c>
      <c r="D92" s="13" t="s">
        <v>371</v>
      </c>
    </row>
    <row r="93" spans="1:4">
      <c r="A93" s="13" t="s">
        <v>134</v>
      </c>
      <c r="B93" s="13" t="s">
        <v>138</v>
      </c>
      <c r="C93" s="13" t="s">
        <v>532</v>
      </c>
      <c r="D93" s="13" t="s">
        <v>371</v>
      </c>
    </row>
    <row r="94" spans="1:4">
      <c r="A94" s="13" t="s">
        <v>134</v>
      </c>
      <c r="B94" s="13" t="s">
        <v>138</v>
      </c>
      <c r="C94" s="13" t="s">
        <v>533</v>
      </c>
      <c r="D94" s="13" t="s">
        <v>371</v>
      </c>
    </row>
    <row r="95" spans="1:4">
      <c r="A95" s="13" t="s">
        <v>134</v>
      </c>
      <c r="B95" s="13" t="s">
        <v>138</v>
      </c>
      <c r="C95" s="13" t="s">
        <v>534</v>
      </c>
      <c r="D95" s="13" t="s">
        <v>371</v>
      </c>
    </row>
    <row r="96" spans="1:4">
      <c r="A96" s="13" t="s">
        <v>134</v>
      </c>
      <c r="B96" s="13" t="s">
        <v>141</v>
      </c>
      <c r="C96" s="13" t="s">
        <v>535</v>
      </c>
      <c r="D96" s="13" t="s">
        <v>371</v>
      </c>
    </row>
    <row r="97" spans="1:4">
      <c r="A97" s="13" t="s">
        <v>134</v>
      </c>
      <c r="B97" s="13" t="s">
        <v>141</v>
      </c>
      <c r="C97" s="13" t="s">
        <v>536</v>
      </c>
      <c r="D97" s="13" t="s">
        <v>371</v>
      </c>
    </row>
    <row r="98" spans="1:4">
      <c r="A98" s="13" t="s">
        <v>134</v>
      </c>
      <c r="B98" s="13" t="s">
        <v>141</v>
      </c>
      <c r="C98" s="13" t="s">
        <v>537</v>
      </c>
      <c r="D98" s="13" t="s">
        <v>371</v>
      </c>
    </row>
    <row r="99" spans="1:4">
      <c r="A99" s="13" t="s">
        <v>134</v>
      </c>
      <c r="B99" s="13" t="s">
        <v>141</v>
      </c>
      <c r="C99" s="13" t="s">
        <v>538</v>
      </c>
      <c r="D99" s="13" t="s">
        <v>371</v>
      </c>
    </row>
    <row r="100" spans="1:4">
      <c r="A100" s="13" t="s">
        <v>134</v>
      </c>
      <c r="B100" s="13" t="s">
        <v>141</v>
      </c>
      <c r="C100" s="13" t="s">
        <v>539</v>
      </c>
      <c r="D100" s="13" t="s">
        <v>371</v>
      </c>
    </row>
    <row r="101" spans="1:4">
      <c r="A101" s="13" t="s">
        <v>134</v>
      </c>
      <c r="B101" s="13" t="s">
        <v>141</v>
      </c>
      <c r="C101" s="13" t="s">
        <v>540</v>
      </c>
      <c r="D101" s="13" t="s">
        <v>371</v>
      </c>
    </row>
    <row r="102" spans="1:4">
      <c r="A102" s="13" t="s">
        <v>134</v>
      </c>
      <c r="B102" s="13" t="s">
        <v>141</v>
      </c>
      <c r="C102" s="13" t="s">
        <v>541</v>
      </c>
      <c r="D102" s="13" t="s">
        <v>371</v>
      </c>
    </row>
    <row r="103" spans="1:4">
      <c r="A103" s="13" t="s">
        <v>134</v>
      </c>
      <c r="B103" s="13" t="s">
        <v>141</v>
      </c>
      <c r="C103" s="13" t="s">
        <v>542</v>
      </c>
      <c r="D103" s="13" t="s">
        <v>371</v>
      </c>
    </row>
    <row r="104" spans="1:4">
      <c r="A104" s="13" t="s">
        <v>134</v>
      </c>
      <c r="B104" s="13" t="s">
        <v>144</v>
      </c>
      <c r="C104" s="13" t="s">
        <v>525</v>
      </c>
      <c r="D104" s="13" t="s">
        <v>371</v>
      </c>
    </row>
    <row r="105" spans="1:4">
      <c r="A105" s="13" t="s">
        <v>134</v>
      </c>
      <c r="B105" s="13" t="s">
        <v>144</v>
      </c>
      <c r="C105" s="13" t="s">
        <v>543</v>
      </c>
      <c r="D105" s="13" t="s">
        <v>371</v>
      </c>
    </row>
    <row r="106" spans="1:4">
      <c r="A106" s="13" t="s">
        <v>134</v>
      </c>
      <c r="B106" s="13" t="s">
        <v>144</v>
      </c>
      <c r="C106" s="13" t="s">
        <v>336</v>
      </c>
      <c r="D106" s="13" t="s">
        <v>371</v>
      </c>
    </row>
    <row r="107" spans="1:4">
      <c r="A107" s="13" t="s">
        <v>134</v>
      </c>
      <c r="B107" s="13" t="s">
        <v>144</v>
      </c>
      <c r="C107" s="13" t="s">
        <v>544</v>
      </c>
      <c r="D107" s="13" t="s">
        <v>371</v>
      </c>
    </row>
    <row r="108" spans="1:4">
      <c r="A108" s="13" t="s">
        <v>134</v>
      </c>
      <c r="B108" s="13" t="s">
        <v>144</v>
      </c>
      <c r="C108" s="13" t="s">
        <v>528</v>
      </c>
      <c r="D108" s="13" t="s">
        <v>371</v>
      </c>
    </row>
    <row r="109" spans="1:4">
      <c r="A109" s="13" t="s">
        <v>134</v>
      </c>
      <c r="B109" s="13" t="s">
        <v>144</v>
      </c>
      <c r="C109" s="13" t="s">
        <v>532</v>
      </c>
      <c r="D109" s="13" t="s">
        <v>371</v>
      </c>
    </row>
    <row r="110" spans="1:4">
      <c r="A110" s="13" t="s">
        <v>134</v>
      </c>
      <c r="B110" s="13" t="s">
        <v>144</v>
      </c>
      <c r="C110" s="13" t="s">
        <v>545</v>
      </c>
      <c r="D110" s="13" t="s">
        <v>371</v>
      </c>
    </row>
    <row r="111" spans="1:4">
      <c r="A111" s="13" t="s">
        <v>134</v>
      </c>
      <c r="B111" s="13" t="s">
        <v>144</v>
      </c>
      <c r="C111" s="13" t="s">
        <v>546</v>
      </c>
      <c r="D111" s="13" t="s">
        <v>371</v>
      </c>
    </row>
    <row r="112" spans="1:4">
      <c r="A112" s="13" t="s">
        <v>134</v>
      </c>
      <c r="B112" s="13" t="s">
        <v>146</v>
      </c>
      <c r="C112" s="13" t="s">
        <v>525</v>
      </c>
      <c r="D112" s="13" t="s">
        <v>371</v>
      </c>
    </row>
    <row r="113" spans="1:4">
      <c r="A113" s="13" t="s">
        <v>134</v>
      </c>
      <c r="B113" s="13" t="s">
        <v>146</v>
      </c>
      <c r="C113" s="13" t="s">
        <v>547</v>
      </c>
      <c r="D113" s="13" t="s">
        <v>371</v>
      </c>
    </row>
    <row r="114" spans="1:4">
      <c r="A114" s="13" t="s">
        <v>134</v>
      </c>
      <c r="B114" s="13" t="s">
        <v>146</v>
      </c>
      <c r="C114" s="13" t="s">
        <v>548</v>
      </c>
      <c r="D114" s="13" t="s">
        <v>371</v>
      </c>
    </row>
    <row r="115" spans="1:4">
      <c r="A115" s="13" t="s">
        <v>134</v>
      </c>
      <c r="B115" s="13" t="s">
        <v>146</v>
      </c>
      <c r="C115" s="13" t="s">
        <v>336</v>
      </c>
      <c r="D115" s="13" t="s">
        <v>371</v>
      </c>
    </row>
    <row r="116" spans="1:4">
      <c r="A116" s="13" t="s">
        <v>134</v>
      </c>
      <c r="B116" s="13" t="s">
        <v>146</v>
      </c>
      <c r="C116" s="13" t="s">
        <v>549</v>
      </c>
      <c r="D116" s="13" t="s">
        <v>371</v>
      </c>
    </row>
    <row r="117" spans="1:4">
      <c r="A117" s="13" t="s">
        <v>134</v>
      </c>
      <c r="B117" s="13" t="s">
        <v>146</v>
      </c>
      <c r="C117" s="13" t="s">
        <v>550</v>
      </c>
      <c r="D117" s="13" t="s">
        <v>371</v>
      </c>
    </row>
    <row r="118" spans="1:4">
      <c r="A118" s="13" t="s">
        <v>134</v>
      </c>
      <c r="B118" s="13" t="s">
        <v>146</v>
      </c>
      <c r="C118" s="13" t="s">
        <v>551</v>
      </c>
      <c r="D118" s="13" t="s">
        <v>371</v>
      </c>
    </row>
    <row r="119" spans="1:4">
      <c r="A119" s="13" t="s">
        <v>134</v>
      </c>
      <c r="B119" s="13" t="s">
        <v>146</v>
      </c>
      <c r="C119" s="13" t="s">
        <v>552</v>
      </c>
      <c r="D119" s="13" t="s">
        <v>371</v>
      </c>
    </row>
    <row r="120" spans="1:4">
      <c r="A120" s="13" t="s">
        <v>134</v>
      </c>
      <c r="B120" s="13" t="s">
        <v>148</v>
      </c>
      <c r="C120" s="13" t="s">
        <v>526</v>
      </c>
      <c r="D120" s="13" t="s">
        <v>371</v>
      </c>
    </row>
    <row r="121" spans="1:4">
      <c r="A121" s="13" t="s">
        <v>134</v>
      </c>
      <c r="B121" s="13" t="s">
        <v>148</v>
      </c>
      <c r="C121" s="13" t="s">
        <v>336</v>
      </c>
      <c r="D121" s="13" t="s">
        <v>371</v>
      </c>
    </row>
    <row r="122" spans="1:4">
      <c r="A122" s="13" t="s">
        <v>134</v>
      </c>
      <c r="B122" s="13" t="s">
        <v>148</v>
      </c>
      <c r="C122" s="13" t="s">
        <v>553</v>
      </c>
      <c r="D122" s="13" t="s">
        <v>371</v>
      </c>
    </row>
    <row r="123" spans="1:4">
      <c r="A123" s="13" t="s">
        <v>134</v>
      </c>
      <c r="B123" s="13" t="s">
        <v>148</v>
      </c>
      <c r="C123" s="13" t="s">
        <v>520</v>
      </c>
      <c r="D123" s="13" t="s">
        <v>371</v>
      </c>
    </row>
    <row r="124" spans="1:4">
      <c r="A124" s="13" t="s">
        <v>134</v>
      </c>
      <c r="B124" s="13" t="s">
        <v>148</v>
      </c>
      <c r="C124" s="13" t="s">
        <v>548</v>
      </c>
      <c r="D124" s="13" t="s">
        <v>371</v>
      </c>
    </row>
    <row r="125" spans="1:4">
      <c r="A125" s="13" t="s">
        <v>134</v>
      </c>
      <c r="B125" s="13" t="s">
        <v>148</v>
      </c>
      <c r="C125" s="13" t="s">
        <v>554</v>
      </c>
      <c r="D125" s="13" t="s">
        <v>371</v>
      </c>
    </row>
    <row r="126" spans="1:4">
      <c r="A126" s="13" t="s">
        <v>134</v>
      </c>
      <c r="B126" s="13" t="s">
        <v>148</v>
      </c>
      <c r="C126" s="13" t="s">
        <v>501</v>
      </c>
      <c r="D126" s="13" t="s">
        <v>371</v>
      </c>
    </row>
    <row r="127" spans="1:4">
      <c r="A127" s="13" t="s">
        <v>134</v>
      </c>
      <c r="B127" s="13" t="s">
        <v>148</v>
      </c>
      <c r="C127" s="13" t="s">
        <v>555</v>
      </c>
      <c r="D127" s="13" t="s">
        <v>371</v>
      </c>
    </row>
    <row r="128" spans="1:4">
      <c r="A128" s="13" t="s">
        <v>134</v>
      </c>
      <c r="B128" s="13" t="s">
        <v>148</v>
      </c>
      <c r="C128" s="13" t="s">
        <v>556</v>
      </c>
      <c r="D128" s="13" t="s">
        <v>371</v>
      </c>
    </row>
    <row r="129" spans="1:4">
      <c r="A129" s="13" t="s">
        <v>134</v>
      </c>
      <c r="B129" s="13" t="s">
        <v>148</v>
      </c>
      <c r="C129" s="13" t="s">
        <v>155</v>
      </c>
      <c r="D129" s="13" t="s">
        <v>371</v>
      </c>
    </row>
    <row r="130" spans="1:4">
      <c r="A130" s="13" t="s">
        <v>134</v>
      </c>
      <c r="B130" s="13" t="s">
        <v>148</v>
      </c>
      <c r="C130" s="13" t="s">
        <v>557</v>
      </c>
      <c r="D130" s="13" t="s">
        <v>371</v>
      </c>
    </row>
    <row r="131" spans="1:4">
      <c r="A131" s="13" t="s">
        <v>134</v>
      </c>
      <c r="B131" s="13" t="s">
        <v>150</v>
      </c>
      <c r="C131" s="13" t="s">
        <v>558</v>
      </c>
      <c r="D131" s="13" t="s">
        <v>371</v>
      </c>
    </row>
    <row r="132" spans="1:4">
      <c r="A132" s="13" t="s">
        <v>134</v>
      </c>
      <c r="B132" s="13" t="s">
        <v>150</v>
      </c>
      <c r="C132" s="13" t="s">
        <v>559</v>
      </c>
      <c r="D132" s="13" t="s">
        <v>371</v>
      </c>
    </row>
    <row r="133" spans="1:4">
      <c r="A133" s="13" t="s">
        <v>134</v>
      </c>
      <c r="B133" s="13" t="s">
        <v>150</v>
      </c>
      <c r="C133" s="13" t="s">
        <v>560</v>
      </c>
      <c r="D133" s="13" t="s">
        <v>371</v>
      </c>
    </row>
    <row r="134" spans="1:4">
      <c r="A134" s="13" t="s">
        <v>134</v>
      </c>
      <c r="B134" s="13" t="s">
        <v>150</v>
      </c>
      <c r="C134" s="13" t="s">
        <v>561</v>
      </c>
      <c r="D134" s="13" t="s">
        <v>371</v>
      </c>
    </row>
    <row r="135" spans="1:4">
      <c r="A135" s="13" t="s">
        <v>134</v>
      </c>
      <c r="B135" s="13" t="s">
        <v>150</v>
      </c>
      <c r="C135" s="13" t="s">
        <v>562</v>
      </c>
      <c r="D135" s="13" t="s">
        <v>371</v>
      </c>
    </row>
    <row r="136" spans="1:4">
      <c r="A136" s="13" t="s">
        <v>134</v>
      </c>
      <c r="B136" s="13" t="s">
        <v>150</v>
      </c>
      <c r="C136" s="13" t="s">
        <v>563</v>
      </c>
      <c r="D136" s="13" t="s">
        <v>371</v>
      </c>
    </row>
    <row r="137" spans="1:4">
      <c r="A137" s="13" t="s">
        <v>134</v>
      </c>
      <c r="B137" s="13" t="s">
        <v>150</v>
      </c>
      <c r="C137" s="13" t="s">
        <v>564</v>
      </c>
      <c r="D137" s="13" t="s">
        <v>371</v>
      </c>
    </row>
    <row r="138" spans="1:4">
      <c r="A138" s="13" t="s">
        <v>134</v>
      </c>
      <c r="B138" s="13" t="s">
        <v>153</v>
      </c>
      <c r="C138" s="13" t="s">
        <v>565</v>
      </c>
      <c r="D138" s="13" t="s">
        <v>371</v>
      </c>
    </row>
    <row r="139" spans="1:4">
      <c r="A139" s="13" t="s">
        <v>134</v>
      </c>
      <c r="B139" s="13" t="s">
        <v>153</v>
      </c>
      <c r="C139" s="13" t="s">
        <v>566</v>
      </c>
      <c r="D139" s="13" t="s">
        <v>371</v>
      </c>
    </row>
    <row r="140" spans="1:4">
      <c r="A140" s="13" t="s">
        <v>134</v>
      </c>
      <c r="B140" s="13" t="s">
        <v>153</v>
      </c>
      <c r="C140" s="13" t="s">
        <v>567</v>
      </c>
      <c r="D140" s="13" t="s">
        <v>371</v>
      </c>
    </row>
    <row r="141" spans="1:4">
      <c r="A141" s="13" t="s">
        <v>134</v>
      </c>
      <c r="B141" s="13" t="s">
        <v>153</v>
      </c>
      <c r="C141" s="13" t="s">
        <v>568</v>
      </c>
      <c r="D141" s="13" t="s">
        <v>371</v>
      </c>
    </row>
    <row r="142" spans="1:4">
      <c r="A142" s="13" t="s">
        <v>134</v>
      </c>
      <c r="B142" s="13" t="s">
        <v>153</v>
      </c>
      <c r="C142" s="13" t="s">
        <v>569</v>
      </c>
      <c r="D142" s="13" t="s">
        <v>371</v>
      </c>
    </row>
    <row r="143" spans="1:4">
      <c r="A143" s="13" t="s">
        <v>134</v>
      </c>
      <c r="B143" s="13" t="s">
        <v>153</v>
      </c>
      <c r="C143" s="13" t="s">
        <v>570</v>
      </c>
      <c r="D143" s="13" t="s">
        <v>371</v>
      </c>
    </row>
    <row r="144" spans="1:4">
      <c r="A144" s="13" t="s">
        <v>134</v>
      </c>
      <c r="B144" s="13" t="s">
        <v>153</v>
      </c>
      <c r="C144" s="13" t="s">
        <v>571</v>
      </c>
      <c r="D144" s="13" t="s">
        <v>371</v>
      </c>
    </row>
    <row r="145" spans="1:4">
      <c r="A145" s="13" t="s">
        <v>134</v>
      </c>
      <c r="B145" s="13" t="s">
        <v>153</v>
      </c>
      <c r="C145" s="13" t="s">
        <v>572</v>
      </c>
      <c r="D145" s="13" t="s">
        <v>371</v>
      </c>
    </row>
    <row r="146" spans="1:4">
      <c r="A146" s="13" t="s">
        <v>134</v>
      </c>
      <c r="B146" s="13" t="s">
        <v>155</v>
      </c>
      <c r="C146" s="13" t="s">
        <v>520</v>
      </c>
      <c r="D146" s="13" t="s">
        <v>371</v>
      </c>
    </row>
    <row r="147" spans="1:4">
      <c r="A147" s="13" t="s">
        <v>134</v>
      </c>
      <c r="B147" s="13" t="s">
        <v>155</v>
      </c>
      <c r="C147" s="13" t="s">
        <v>548</v>
      </c>
      <c r="D147" s="13" t="s">
        <v>371</v>
      </c>
    </row>
    <row r="148" spans="1:4">
      <c r="A148" s="13" t="s">
        <v>134</v>
      </c>
      <c r="B148" s="13" t="s">
        <v>155</v>
      </c>
      <c r="C148" s="13" t="s">
        <v>526</v>
      </c>
      <c r="D148" s="13" t="s">
        <v>371</v>
      </c>
    </row>
    <row r="149" spans="1:4">
      <c r="A149" s="13" t="s">
        <v>134</v>
      </c>
      <c r="B149" s="13" t="s">
        <v>155</v>
      </c>
      <c r="C149" s="13" t="s">
        <v>573</v>
      </c>
      <c r="D149" s="13" t="s">
        <v>371</v>
      </c>
    </row>
    <row r="150" spans="1:4">
      <c r="A150" s="13" t="s">
        <v>134</v>
      </c>
      <c r="B150" s="13" t="s">
        <v>155</v>
      </c>
      <c r="C150" s="13" t="s">
        <v>574</v>
      </c>
      <c r="D150" s="13" t="s">
        <v>371</v>
      </c>
    </row>
    <row r="151" spans="1:4">
      <c r="A151" s="13" t="s">
        <v>134</v>
      </c>
      <c r="B151" s="13" t="s">
        <v>155</v>
      </c>
      <c r="C151" s="13" t="s">
        <v>575</v>
      </c>
      <c r="D151" s="13" t="s">
        <v>371</v>
      </c>
    </row>
    <row r="152" spans="1:4">
      <c r="A152" s="13" t="s">
        <v>134</v>
      </c>
      <c r="B152" s="13" t="s">
        <v>155</v>
      </c>
      <c r="C152" s="13" t="s">
        <v>576</v>
      </c>
      <c r="D152" s="13" t="s">
        <v>371</v>
      </c>
    </row>
    <row r="153" spans="1:4">
      <c r="A153" s="13" t="s">
        <v>134</v>
      </c>
      <c r="B153" s="13" t="s">
        <v>158</v>
      </c>
      <c r="C153" s="13" t="s">
        <v>577</v>
      </c>
      <c r="D153" s="13" t="s">
        <v>371</v>
      </c>
    </row>
    <row r="154" spans="1:4">
      <c r="A154" s="13" t="s">
        <v>134</v>
      </c>
      <c r="B154" s="13" t="s">
        <v>158</v>
      </c>
      <c r="C154" s="13" t="s">
        <v>578</v>
      </c>
      <c r="D154" s="13" t="s">
        <v>371</v>
      </c>
    </row>
    <row r="155" spans="1:4">
      <c r="A155" s="13" t="s">
        <v>134</v>
      </c>
      <c r="B155" s="13" t="s">
        <v>158</v>
      </c>
      <c r="C155" s="13" t="s">
        <v>579</v>
      </c>
      <c r="D155" s="13" t="s">
        <v>371</v>
      </c>
    </row>
    <row r="156" spans="1:4">
      <c r="A156" s="13" t="s">
        <v>134</v>
      </c>
      <c r="B156" s="13" t="s">
        <v>158</v>
      </c>
      <c r="C156" s="13" t="s">
        <v>575</v>
      </c>
      <c r="D156" s="13" t="s">
        <v>371</v>
      </c>
    </row>
    <row r="157" spans="1:4">
      <c r="A157" s="13" t="s">
        <v>134</v>
      </c>
      <c r="B157" s="13" t="s">
        <v>158</v>
      </c>
      <c r="C157" s="13" t="s">
        <v>580</v>
      </c>
      <c r="D157" s="13" t="s">
        <v>371</v>
      </c>
    </row>
    <row r="158" spans="1:4">
      <c r="A158" s="13" t="s">
        <v>134</v>
      </c>
      <c r="B158" s="13" t="s">
        <v>158</v>
      </c>
      <c r="C158" s="13" t="s">
        <v>158</v>
      </c>
      <c r="D158" s="13" t="s">
        <v>371</v>
      </c>
    </row>
    <row r="159" spans="1:4">
      <c r="A159" s="13" t="s">
        <v>134</v>
      </c>
      <c r="B159" s="13" t="s">
        <v>158</v>
      </c>
      <c r="C159" s="13" t="s">
        <v>582</v>
      </c>
      <c r="D159" s="13" t="s">
        <v>371</v>
      </c>
    </row>
    <row r="160" spans="1:4">
      <c r="A160" s="13" t="s">
        <v>134</v>
      </c>
      <c r="B160" s="13" t="s">
        <v>158</v>
      </c>
      <c r="C160" s="13" t="s">
        <v>581</v>
      </c>
      <c r="D160" s="13" t="s">
        <v>371</v>
      </c>
    </row>
    <row r="161" spans="1:4">
      <c r="A161" s="13" t="s">
        <v>134</v>
      </c>
      <c r="B161" s="13" t="s">
        <v>161</v>
      </c>
      <c r="C161" s="27" t="s">
        <v>583</v>
      </c>
      <c r="D161" s="13" t="s">
        <v>371</v>
      </c>
    </row>
    <row r="162" spans="1:4">
      <c r="A162" s="13" t="s">
        <v>134</v>
      </c>
      <c r="B162" s="13" t="s">
        <v>161</v>
      </c>
      <c r="C162" s="27" t="s">
        <v>584</v>
      </c>
      <c r="D162" s="13" t="s">
        <v>371</v>
      </c>
    </row>
    <row r="163" spans="1:4">
      <c r="A163" s="13" t="s">
        <v>134</v>
      </c>
      <c r="B163" s="13" t="s">
        <v>161</v>
      </c>
      <c r="C163" s="27" t="s">
        <v>585</v>
      </c>
      <c r="D163" s="13" t="s">
        <v>371</v>
      </c>
    </row>
    <row r="164" spans="1:4">
      <c r="A164" s="13" t="s">
        <v>134</v>
      </c>
      <c r="B164" s="13" t="s">
        <v>161</v>
      </c>
      <c r="C164" s="27" t="s">
        <v>415</v>
      </c>
      <c r="D164" s="13" t="s">
        <v>371</v>
      </c>
    </row>
    <row r="165" spans="1:4">
      <c r="A165" s="13" t="s">
        <v>134</v>
      </c>
      <c r="B165" s="13" t="s">
        <v>161</v>
      </c>
      <c r="C165" s="13" t="s">
        <v>586</v>
      </c>
      <c r="D165" s="13" t="s">
        <v>371</v>
      </c>
    </row>
    <row r="166" spans="1:4">
      <c r="A166" s="13" t="s">
        <v>134</v>
      </c>
      <c r="B166" s="13" t="s">
        <v>161</v>
      </c>
      <c r="C166" s="27" t="s">
        <v>587</v>
      </c>
      <c r="D166" s="13" t="s">
        <v>371</v>
      </c>
    </row>
    <row r="167" spans="1:4">
      <c r="A167" s="13" t="s">
        <v>134</v>
      </c>
      <c r="B167" s="13" t="s">
        <v>161</v>
      </c>
      <c r="C167" s="13" t="s">
        <v>588</v>
      </c>
      <c r="D167" s="13" t="s">
        <v>371</v>
      </c>
    </row>
    <row r="168" spans="1:4">
      <c r="A168" s="13" t="s">
        <v>134</v>
      </c>
      <c r="B168" s="13" t="s">
        <v>164</v>
      </c>
      <c r="C168" s="13" t="s">
        <v>310</v>
      </c>
      <c r="D168" s="13" t="s">
        <v>371</v>
      </c>
    </row>
    <row r="169" spans="1:4">
      <c r="A169" s="13" t="s">
        <v>134</v>
      </c>
      <c r="B169" s="13" t="s">
        <v>164</v>
      </c>
      <c r="C169" s="13" t="s">
        <v>589</v>
      </c>
      <c r="D169" s="13" t="s">
        <v>371</v>
      </c>
    </row>
    <row r="170" spans="1:4">
      <c r="A170" s="13" t="s">
        <v>134</v>
      </c>
      <c r="B170" s="13" t="s">
        <v>164</v>
      </c>
      <c r="C170" s="13" t="s">
        <v>590</v>
      </c>
      <c r="D170" s="13" t="s">
        <v>371</v>
      </c>
    </row>
    <row r="171" spans="1:4">
      <c r="A171" s="13" t="s">
        <v>134</v>
      </c>
      <c r="B171" s="13" t="s">
        <v>164</v>
      </c>
      <c r="C171" s="13" t="s">
        <v>591</v>
      </c>
      <c r="D171" s="13" t="s">
        <v>371</v>
      </c>
    </row>
    <row r="172" spans="1:4">
      <c r="A172" s="13" t="s">
        <v>134</v>
      </c>
      <c r="B172" s="13" t="s">
        <v>164</v>
      </c>
      <c r="C172" s="13" t="s">
        <v>592</v>
      </c>
      <c r="D172" s="13" t="s">
        <v>371</v>
      </c>
    </row>
    <row r="173" spans="1:4">
      <c r="A173" s="13" t="s">
        <v>134</v>
      </c>
      <c r="B173" s="13" t="s">
        <v>164</v>
      </c>
      <c r="C173" s="13" t="s">
        <v>593</v>
      </c>
      <c r="D173" s="13" t="s">
        <v>371</v>
      </c>
    </row>
    <row r="174" spans="1:4">
      <c r="A174" s="13" t="s">
        <v>134</v>
      </c>
      <c r="B174" s="13" t="s">
        <v>164</v>
      </c>
      <c r="C174" s="13" t="s">
        <v>587</v>
      </c>
      <c r="D174" s="13" t="s">
        <v>371</v>
      </c>
    </row>
    <row r="175" spans="1:4">
      <c r="A175" s="13" t="s">
        <v>134</v>
      </c>
      <c r="B175" s="13" t="s">
        <v>164</v>
      </c>
      <c r="C175" s="13" t="s">
        <v>594</v>
      </c>
      <c r="D175" s="13" t="s">
        <v>371</v>
      </c>
    </row>
    <row r="176" spans="1:4">
      <c r="A176" s="13" t="s">
        <v>134</v>
      </c>
      <c r="B176" s="13" t="s">
        <v>167</v>
      </c>
      <c r="C176" s="13" t="s">
        <v>595</v>
      </c>
      <c r="D176" s="13" t="s">
        <v>371</v>
      </c>
    </row>
    <row r="177" spans="1:4">
      <c r="A177" s="13" t="s">
        <v>134</v>
      </c>
      <c r="B177" s="13" t="s">
        <v>167</v>
      </c>
      <c r="C177" s="13" t="s">
        <v>596</v>
      </c>
      <c r="D177" s="13" t="s">
        <v>371</v>
      </c>
    </row>
    <row r="178" spans="1:4">
      <c r="A178" s="13" t="s">
        <v>134</v>
      </c>
      <c r="B178" s="13" t="s">
        <v>167</v>
      </c>
      <c r="C178" s="13" t="s">
        <v>597</v>
      </c>
      <c r="D178" s="13" t="s">
        <v>371</v>
      </c>
    </row>
    <row r="179" spans="1:4">
      <c r="A179" s="13" t="s">
        <v>134</v>
      </c>
      <c r="B179" s="13" t="s">
        <v>167</v>
      </c>
      <c r="C179" s="13" t="s">
        <v>598</v>
      </c>
      <c r="D179" s="13" t="s">
        <v>371</v>
      </c>
    </row>
    <row r="180" spans="1:4">
      <c r="A180" s="13" t="s">
        <v>134</v>
      </c>
      <c r="B180" s="13" t="s">
        <v>167</v>
      </c>
      <c r="C180" s="13" t="s">
        <v>599</v>
      </c>
      <c r="D180" s="13" t="s">
        <v>371</v>
      </c>
    </row>
    <row r="181" spans="1:4">
      <c r="A181" s="13" t="s">
        <v>134</v>
      </c>
      <c r="B181" s="13" t="s">
        <v>167</v>
      </c>
      <c r="C181" s="13" t="s">
        <v>600</v>
      </c>
      <c r="D181" s="13" t="s">
        <v>371</v>
      </c>
    </row>
    <row r="182" spans="1:4">
      <c r="A182" s="13" t="s">
        <v>134</v>
      </c>
      <c r="B182" s="13" t="s">
        <v>167</v>
      </c>
      <c r="C182" s="13" t="s">
        <v>601</v>
      </c>
      <c r="D182" s="13" t="s">
        <v>371</v>
      </c>
    </row>
    <row r="183" spans="1:4">
      <c r="A183" s="13" t="s">
        <v>134</v>
      </c>
      <c r="B183" s="13" t="s">
        <v>167</v>
      </c>
      <c r="C183" s="13" t="s">
        <v>602</v>
      </c>
      <c r="D183" s="13" t="s">
        <v>371</v>
      </c>
    </row>
    <row r="184" spans="1:4">
      <c r="A184" s="13" t="s">
        <v>134</v>
      </c>
      <c r="B184" s="13" t="s">
        <v>167</v>
      </c>
      <c r="C184" s="13" t="s">
        <v>603</v>
      </c>
      <c r="D184" s="13" t="s">
        <v>371</v>
      </c>
    </row>
    <row r="185" spans="1:4">
      <c r="A185" s="13" t="s">
        <v>134</v>
      </c>
      <c r="B185" s="13" t="s">
        <v>167</v>
      </c>
      <c r="C185" s="13" t="s">
        <v>604</v>
      </c>
      <c r="D185" s="13" t="s">
        <v>371</v>
      </c>
    </row>
    <row r="186" spans="1:4">
      <c r="A186" s="13" t="s">
        <v>134</v>
      </c>
      <c r="B186" s="13" t="s">
        <v>167</v>
      </c>
      <c r="C186" s="13" t="s">
        <v>605</v>
      </c>
      <c r="D186" s="13" t="s">
        <v>371</v>
      </c>
    </row>
    <row r="187" spans="1:4">
      <c r="A187" s="13" t="s">
        <v>170</v>
      </c>
      <c r="B187" s="13" t="s">
        <v>171</v>
      </c>
      <c r="C187" s="13" t="s">
        <v>606</v>
      </c>
      <c r="D187" s="13" t="s">
        <v>371</v>
      </c>
    </row>
    <row r="188" spans="1:4">
      <c r="A188" s="13" t="s">
        <v>170</v>
      </c>
      <c r="B188" s="13" t="s">
        <v>171</v>
      </c>
      <c r="C188" s="13" t="s">
        <v>560</v>
      </c>
      <c r="D188" s="13" t="s">
        <v>371</v>
      </c>
    </row>
    <row r="189" spans="1:4">
      <c r="A189" s="13" t="s">
        <v>170</v>
      </c>
      <c r="B189" s="13" t="s">
        <v>171</v>
      </c>
      <c r="C189" s="13" t="s">
        <v>607</v>
      </c>
      <c r="D189" s="13" t="s">
        <v>371</v>
      </c>
    </row>
    <row r="190" spans="1:4">
      <c r="A190" s="13" t="s">
        <v>170</v>
      </c>
      <c r="B190" s="13" t="s">
        <v>171</v>
      </c>
      <c r="C190" s="13" t="s">
        <v>608</v>
      </c>
      <c r="D190" s="13" t="s">
        <v>371</v>
      </c>
    </row>
    <row r="191" spans="1:4">
      <c r="A191" s="13" t="s">
        <v>170</v>
      </c>
      <c r="B191" s="13" t="s">
        <v>171</v>
      </c>
      <c r="C191" s="13" t="s">
        <v>609</v>
      </c>
      <c r="D191" s="13" t="s">
        <v>371</v>
      </c>
    </row>
    <row r="192" spans="1:4">
      <c r="A192" s="13" t="s">
        <v>170</v>
      </c>
      <c r="B192" s="13" t="s">
        <v>171</v>
      </c>
      <c r="C192" s="13" t="s">
        <v>610</v>
      </c>
      <c r="D192" s="13" t="s">
        <v>371</v>
      </c>
    </row>
    <row r="193" spans="1:4">
      <c r="A193" s="13" t="s">
        <v>170</v>
      </c>
      <c r="B193" s="13" t="s">
        <v>171</v>
      </c>
      <c r="C193" s="13" t="s">
        <v>611</v>
      </c>
      <c r="D193" s="13" t="s">
        <v>371</v>
      </c>
    </row>
    <row r="194" spans="1:4">
      <c r="A194" s="13" t="s">
        <v>170</v>
      </c>
      <c r="B194" s="13" t="s">
        <v>171</v>
      </c>
      <c r="C194" s="13" t="s">
        <v>612</v>
      </c>
      <c r="D194" s="13" t="s">
        <v>371</v>
      </c>
    </row>
    <row r="195" spans="1:4">
      <c r="A195" s="13" t="s">
        <v>170</v>
      </c>
      <c r="B195" s="13" t="s">
        <v>171</v>
      </c>
      <c r="C195" s="13" t="s">
        <v>613</v>
      </c>
      <c r="D195" s="13" t="s">
        <v>371</v>
      </c>
    </row>
    <row r="196" spans="1:4">
      <c r="A196" s="13" t="s">
        <v>170</v>
      </c>
      <c r="B196" s="13" t="s">
        <v>171</v>
      </c>
      <c r="C196" s="13" t="s">
        <v>614</v>
      </c>
      <c r="D196" s="13" t="s">
        <v>371</v>
      </c>
    </row>
    <row r="197" spans="1:4">
      <c r="A197" s="13" t="s">
        <v>170</v>
      </c>
      <c r="B197" s="13" t="s">
        <v>174</v>
      </c>
      <c r="C197" s="13" t="s">
        <v>615</v>
      </c>
      <c r="D197" s="13" t="s">
        <v>371</v>
      </c>
    </row>
    <row r="198" spans="1:4">
      <c r="A198" s="13" t="s">
        <v>170</v>
      </c>
      <c r="B198" s="13" t="s">
        <v>174</v>
      </c>
      <c r="C198" s="13" t="s">
        <v>578</v>
      </c>
      <c r="D198" s="13" t="s">
        <v>371</v>
      </c>
    </row>
    <row r="199" spans="1:4">
      <c r="A199" s="13" t="s">
        <v>170</v>
      </c>
      <c r="B199" s="13" t="s">
        <v>174</v>
      </c>
      <c r="C199" s="13" t="s">
        <v>616</v>
      </c>
      <c r="D199" s="13" t="s">
        <v>371</v>
      </c>
    </row>
    <row r="200" spans="1:4">
      <c r="A200" s="13" t="s">
        <v>170</v>
      </c>
      <c r="B200" s="13" t="s">
        <v>174</v>
      </c>
      <c r="C200" s="13" t="s">
        <v>392</v>
      </c>
      <c r="D200" s="13" t="s">
        <v>371</v>
      </c>
    </row>
    <row r="201" spans="1:4">
      <c r="A201" s="13" t="s">
        <v>170</v>
      </c>
      <c r="B201" s="13" t="s">
        <v>174</v>
      </c>
      <c r="C201" s="13" t="s">
        <v>608</v>
      </c>
      <c r="D201" s="13" t="s">
        <v>371</v>
      </c>
    </row>
    <row r="202" spans="1:4">
      <c r="A202" s="13" t="s">
        <v>170</v>
      </c>
      <c r="B202" s="13" t="s">
        <v>174</v>
      </c>
      <c r="C202" s="13" t="s">
        <v>617</v>
      </c>
      <c r="D202" s="13" t="s">
        <v>371</v>
      </c>
    </row>
    <row r="203" spans="1:4">
      <c r="A203" s="13" t="s">
        <v>170</v>
      </c>
      <c r="B203" s="13" t="s">
        <v>174</v>
      </c>
      <c r="C203" s="13" t="s">
        <v>618</v>
      </c>
      <c r="D203" s="13" t="s">
        <v>371</v>
      </c>
    </row>
    <row r="204" spans="1:4">
      <c r="A204" s="13" t="s">
        <v>170</v>
      </c>
      <c r="B204" s="13" t="s">
        <v>177</v>
      </c>
      <c r="C204" s="13" t="s">
        <v>619</v>
      </c>
      <c r="D204" s="13" t="s">
        <v>371</v>
      </c>
    </row>
    <row r="205" spans="1:4">
      <c r="A205" s="13" t="s">
        <v>170</v>
      </c>
      <c r="B205" s="13" t="s">
        <v>177</v>
      </c>
      <c r="C205" s="27" t="s">
        <v>620</v>
      </c>
      <c r="D205" s="13" t="s">
        <v>371</v>
      </c>
    </row>
    <row r="206" spans="1:4">
      <c r="A206" s="13" t="s">
        <v>170</v>
      </c>
      <c r="B206" s="13" t="s">
        <v>177</v>
      </c>
      <c r="C206" s="27" t="s">
        <v>621</v>
      </c>
      <c r="D206" s="13" t="s">
        <v>371</v>
      </c>
    </row>
    <row r="207" spans="1:4">
      <c r="A207" s="13" t="s">
        <v>170</v>
      </c>
      <c r="B207" s="13" t="s">
        <v>177</v>
      </c>
      <c r="C207" s="27" t="s">
        <v>622</v>
      </c>
      <c r="D207" s="13" t="s">
        <v>371</v>
      </c>
    </row>
    <row r="208" spans="1:4">
      <c r="A208" s="13" t="s">
        <v>170</v>
      </c>
      <c r="B208" s="13" t="s">
        <v>177</v>
      </c>
      <c r="C208" s="27" t="s">
        <v>623</v>
      </c>
      <c r="D208" s="13" t="s">
        <v>371</v>
      </c>
    </row>
    <row r="209" spans="1:4">
      <c r="A209" s="13" t="s">
        <v>170</v>
      </c>
      <c r="B209" s="13" t="s">
        <v>177</v>
      </c>
      <c r="C209" s="27" t="s">
        <v>624</v>
      </c>
      <c r="D209" s="13" t="s">
        <v>371</v>
      </c>
    </row>
    <row r="210" spans="1:4">
      <c r="A210" s="13" t="s">
        <v>170</v>
      </c>
      <c r="B210" s="13" t="s">
        <v>177</v>
      </c>
      <c r="C210" s="27" t="s">
        <v>625</v>
      </c>
      <c r="D210" s="13" t="s">
        <v>371</v>
      </c>
    </row>
    <row r="211" spans="1:4">
      <c r="A211" s="13" t="s">
        <v>170</v>
      </c>
      <c r="B211" s="13" t="s">
        <v>177</v>
      </c>
      <c r="C211" s="27" t="s">
        <v>626</v>
      </c>
      <c r="D211" s="13" t="s">
        <v>371</v>
      </c>
    </row>
    <row r="212" spans="1:4">
      <c r="A212" s="13" t="s">
        <v>170</v>
      </c>
      <c r="B212" s="13" t="s">
        <v>180</v>
      </c>
      <c r="C212" s="27" t="s">
        <v>627</v>
      </c>
      <c r="D212" s="13" t="s">
        <v>371</v>
      </c>
    </row>
    <row r="213" spans="1:4">
      <c r="A213" s="13" t="s">
        <v>170</v>
      </c>
      <c r="B213" s="13" t="s">
        <v>180</v>
      </c>
      <c r="C213" s="27" t="s">
        <v>628</v>
      </c>
      <c r="D213" s="13" t="s">
        <v>371</v>
      </c>
    </row>
    <row r="214" spans="1:4">
      <c r="A214" s="13" t="s">
        <v>170</v>
      </c>
      <c r="B214" s="13" t="s">
        <v>180</v>
      </c>
      <c r="C214" s="27" t="s">
        <v>629</v>
      </c>
      <c r="D214" s="13" t="s">
        <v>371</v>
      </c>
    </row>
    <row r="215" spans="1:4">
      <c r="A215" s="13" t="s">
        <v>170</v>
      </c>
      <c r="B215" s="13" t="s">
        <v>180</v>
      </c>
      <c r="C215" s="27" t="s">
        <v>630</v>
      </c>
      <c r="D215" s="13" t="s">
        <v>371</v>
      </c>
    </row>
    <row r="216" spans="1:4">
      <c r="A216" s="13" t="s">
        <v>170</v>
      </c>
      <c r="B216" s="13" t="s">
        <v>180</v>
      </c>
      <c r="C216" s="27" t="s">
        <v>610</v>
      </c>
      <c r="D216" s="13" t="s">
        <v>371</v>
      </c>
    </row>
    <row r="217" spans="1:4">
      <c r="A217" s="13" t="s">
        <v>170</v>
      </c>
      <c r="B217" s="13" t="s">
        <v>180</v>
      </c>
      <c r="C217" s="27" t="s">
        <v>526</v>
      </c>
      <c r="D217" s="13" t="s">
        <v>371</v>
      </c>
    </row>
    <row r="218" spans="1:4">
      <c r="A218" s="13" t="s">
        <v>170</v>
      </c>
      <c r="B218" s="13" t="s">
        <v>180</v>
      </c>
      <c r="C218" s="27" t="s">
        <v>631</v>
      </c>
      <c r="D218" s="13" t="s">
        <v>371</v>
      </c>
    </row>
    <row r="219" spans="1:4">
      <c r="A219" s="13" t="s">
        <v>170</v>
      </c>
      <c r="B219" s="13" t="s">
        <v>180</v>
      </c>
      <c r="C219" s="27" t="s">
        <v>632</v>
      </c>
      <c r="D219" s="13" t="s">
        <v>371</v>
      </c>
    </row>
    <row r="220" spans="1:4">
      <c r="A220" s="13" t="s">
        <v>170</v>
      </c>
      <c r="B220" s="13" t="s">
        <v>183</v>
      </c>
      <c r="C220" s="27" t="s">
        <v>633</v>
      </c>
      <c r="D220" s="13" t="s">
        <v>371</v>
      </c>
    </row>
    <row r="221" spans="1:4">
      <c r="A221" s="13" t="s">
        <v>170</v>
      </c>
      <c r="B221" s="13" t="s">
        <v>183</v>
      </c>
      <c r="C221" s="27" t="s">
        <v>634</v>
      </c>
      <c r="D221" s="13" t="s">
        <v>371</v>
      </c>
    </row>
    <row r="222" spans="1:4">
      <c r="A222" s="13" t="s">
        <v>170</v>
      </c>
      <c r="B222" s="13" t="s">
        <v>183</v>
      </c>
      <c r="C222" s="27" t="s">
        <v>635</v>
      </c>
      <c r="D222" s="13" t="s">
        <v>371</v>
      </c>
    </row>
    <row r="223" spans="1:4">
      <c r="A223" s="13" t="s">
        <v>170</v>
      </c>
      <c r="B223" s="13" t="s">
        <v>183</v>
      </c>
      <c r="C223" s="27" t="s">
        <v>636</v>
      </c>
      <c r="D223" s="13" t="s">
        <v>371</v>
      </c>
    </row>
    <row r="224" spans="1:4">
      <c r="A224" s="13" t="s">
        <v>170</v>
      </c>
      <c r="B224" s="13" t="s">
        <v>183</v>
      </c>
      <c r="C224" s="27" t="s">
        <v>637</v>
      </c>
      <c r="D224" s="13" t="s">
        <v>371</v>
      </c>
    </row>
    <row r="225" spans="1:4">
      <c r="A225" s="13" t="s">
        <v>170</v>
      </c>
      <c r="B225" s="13" t="s">
        <v>183</v>
      </c>
      <c r="C225" s="27" t="s">
        <v>638</v>
      </c>
      <c r="D225" s="13" t="s">
        <v>371</v>
      </c>
    </row>
    <row r="226" spans="1:4">
      <c r="A226" s="13" t="s">
        <v>170</v>
      </c>
      <c r="B226" s="13" t="s">
        <v>183</v>
      </c>
      <c r="C226" s="27" t="s">
        <v>639</v>
      </c>
      <c r="D226" s="13" t="s">
        <v>371</v>
      </c>
    </row>
    <row r="227" spans="1:4">
      <c r="A227" s="13" t="s">
        <v>170</v>
      </c>
      <c r="B227" s="13" t="s">
        <v>183</v>
      </c>
      <c r="C227" s="27" t="s">
        <v>640</v>
      </c>
      <c r="D227" s="13" t="s">
        <v>371</v>
      </c>
    </row>
    <row r="228" spans="1:4">
      <c r="A228" s="13" t="s">
        <v>170</v>
      </c>
      <c r="B228" s="13" t="s">
        <v>183</v>
      </c>
      <c r="C228" s="27" t="s">
        <v>641</v>
      </c>
      <c r="D228" s="13" t="s">
        <v>371</v>
      </c>
    </row>
    <row r="229" spans="1:4">
      <c r="A229" s="13" t="s">
        <v>170</v>
      </c>
      <c r="B229" s="13" t="s">
        <v>185</v>
      </c>
      <c r="C229" s="27" t="s">
        <v>642</v>
      </c>
      <c r="D229" s="13" t="s">
        <v>371</v>
      </c>
    </row>
    <row r="230" spans="1:4">
      <c r="A230" s="13" t="s">
        <v>170</v>
      </c>
      <c r="B230" s="13" t="s">
        <v>185</v>
      </c>
      <c r="C230" s="27" t="s">
        <v>643</v>
      </c>
      <c r="D230" s="13" t="s">
        <v>371</v>
      </c>
    </row>
    <row r="231" spans="1:4">
      <c r="A231" s="13" t="s">
        <v>170</v>
      </c>
      <c r="B231" s="13" t="s">
        <v>185</v>
      </c>
      <c r="C231" s="27" t="s">
        <v>644</v>
      </c>
      <c r="D231" s="13" t="s">
        <v>371</v>
      </c>
    </row>
    <row r="232" spans="1:4">
      <c r="A232" s="13" t="s">
        <v>170</v>
      </c>
      <c r="B232" s="13" t="s">
        <v>185</v>
      </c>
      <c r="C232" s="27" t="s">
        <v>645</v>
      </c>
      <c r="D232" s="13" t="s">
        <v>371</v>
      </c>
    </row>
    <row r="233" spans="1:4">
      <c r="A233" s="13" t="s">
        <v>170</v>
      </c>
      <c r="B233" s="13" t="s">
        <v>185</v>
      </c>
      <c r="C233" s="27" t="s">
        <v>646</v>
      </c>
      <c r="D233" s="13" t="s">
        <v>371</v>
      </c>
    </row>
    <row r="234" spans="1:4">
      <c r="A234" s="13" t="s">
        <v>170</v>
      </c>
      <c r="B234" s="13" t="s">
        <v>185</v>
      </c>
      <c r="C234" s="27" t="s">
        <v>647</v>
      </c>
      <c r="D234" s="13" t="s">
        <v>371</v>
      </c>
    </row>
    <row r="235" spans="1:4">
      <c r="A235" s="13" t="s">
        <v>170</v>
      </c>
      <c r="B235" s="13" t="s">
        <v>185</v>
      </c>
      <c r="C235" s="27" t="s">
        <v>648</v>
      </c>
      <c r="D235" s="13" t="s">
        <v>371</v>
      </c>
    </row>
    <row r="236" spans="1:4">
      <c r="A236" s="13" t="s">
        <v>170</v>
      </c>
      <c r="B236" s="13" t="s">
        <v>185</v>
      </c>
      <c r="C236" s="27" t="s">
        <v>649</v>
      </c>
      <c r="D236" s="13" t="s">
        <v>371</v>
      </c>
    </row>
    <row r="237" spans="1:4">
      <c r="A237" s="13" t="s">
        <v>170</v>
      </c>
      <c r="B237" s="13" t="s">
        <v>185</v>
      </c>
      <c r="C237" s="27" t="s">
        <v>650</v>
      </c>
      <c r="D237" s="13" t="s">
        <v>371</v>
      </c>
    </row>
    <row r="238" spans="1:4">
      <c r="A238" s="13" t="s">
        <v>170</v>
      </c>
      <c r="B238" s="13" t="s">
        <v>188</v>
      </c>
      <c r="C238" s="13" t="s">
        <v>651</v>
      </c>
      <c r="D238" s="13" t="s">
        <v>371</v>
      </c>
    </row>
    <row r="239" spans="1:4">
      <c r="A239" s="13" t="s">
        <v>170</v>
      </c>
      <c r="B239" s="13" t="s">
        <v>188</v>
      </c>
      <c r="C239" s="13" t="s">
        <v>310</v>
      </c>
      <c r="D239" s="13" t="s">
        <v>371</v>
      </c>
    </row>
    <row r="240" spans="1:4">
      <c r="A240" s="13" t="s">
        <v>170</v>
      </c>
      <c r="B240" s="13" t="s">
        <v>188</v>
      </c>
      <c r="C240" s="13" t="s">
        <v>652</v>
      </c>
      <c r="D240" s="13" t="s">
        <v>371</v>
      </c>
    </row>
    <row r="241" spans="1:4">
      <c r="A241" s="13" t="s">
        <v>170</v>
      </c>
      <c r="B241" s="13" t="s">
        <v>188</v>
      </c>
      <c r="C241" s="13" t="s">
        <v>653</v>
      </c>
      <c r="D241" s="13" t="s">
        <v>371</v>
      </c>
    </row>
    <row r="242" spans="1:4">
      <c r="A242" s="13" t="s">
        <v>170</v>
      </c>
      <c r="B242" s="13" t="s">
        <v>188</v>
      </c>
      <c r="C242" s="13" t="s">
        <v>654</v>
      </c>
      <c r="D242" s="13" t="s">
        <v>371</v>
      </c>
    </row>
    <row r="243" spans="1:4">
      <c r="A243" s="13" t="s">
        <v>170</v>
      </c>
      <c r="B243" s="13" t="s">
        <v>188</v>
      </c>
      <c r="C243" s="13" t="s">
        <v>655</v>
      </c>
      <c r="D243" s="13" t="s">
        <v>371</v>
      </c>
    </row>
    <row r="244" spans="1:4">
      <c r="A244" s="13" t="s">
        <v>170</v>
      </c>
      <c r="B244" s="13" t="s">
        <v>188</v>
      </c>
      <c r="C244" s="13" t="s">
        <v>656</v>
      </c>
      <c r="D244" s="13" t="s">
        <v>371</v>
      </c>
    </row>
    <row r="245" spans="1:4">
      <c r="A245" s="13" t="s">
        <v>170</v>
      </c>
      <c r="B245" s="13" t="s">
        <v>190</v>
      </c>
      <c r="C245" s="27" t="s">
        <v>657</v>
      </c>
      <c r="D245" s="13" t="s">
        <v>371</v>
      </c>
    </row>
    <row r="246" spans="1:4">
      <c r="A246" s="13" t="s">
        <v>170</v>
      </c>
      <c r="B246" s="13" t="s">
        <v>190</v>
      </c>
      <c r="C246" s="13" t="s">
        <v>658</v>
      </c>
      <c r="D246" s="13" t="s">
        <v>371</v>
      </c>
    </row>
    <row r="247" spans="1:4">
      <c r="A247" s="13" t="s">
        <v>170</v>
      </c>
      <c r="B247" s="13" t="s">
        <v>190</v>
      </c>
      <c r="C247" s="13" t="s">
        <v>659</v>
      </c>
      <c r="D247" s="13" t="s">
        <v>371</v>
      </c>
    </row>
    <row r="248" spans="1:4">
      <c r="A248" s="13" t="s">
        <v>170</v>
      </c>
      <c r="B248" s="13" t="s">
        <v>190</v>
      </c>
      <c r="C248" s="27" t="s">
        <v>660</v>
      </c>
      <c r="D248" s="13" t="s">
        <v>371</v>
      </c>
    </row>
    <row r="249" spans="1:4">
      <c r="A249" s="13" t="s">
        <v>170</v>
      </c>
      <c r="B249" s="13" t="s">
        <v>190</v>
      </c>
      <c r="C249" s="13" t="s">
        <v>661</v>
      </c>
      <c r="D249" s="13" t="s">
        <v>371</v>
      </c>
    </row>
    <row r="250" spans="1:4">
      <c r="A250" s="13" t="s">
        <v>170</v>
      </c>
      <c r="B250" s="13" t="s">
        <v>190</v>
      </c>
      <c r="C250" s="27" t="s">
        <v>662</v>
      </c>
      <c r="D250" s="13" t="s">
        <v>371</v>
      </c>
    </row>
    <row r="251" spans="1:4">
      <c r="A251" s="13" t="s">
        <v>170</v>
      </c>
      <c r="B251" s="13" t="s">
        <v>193</v>
      </c>
      <c r="C251" s="13" t="s">
        <v>663</v>
      </c>
      <c r="D251" s="13" t="s">
        <v>371</v>
      </c>
    </row>
    <row r="252" spans="1:4">
      <c r="A252" s="13" t="s">
        <v>170</v>
      </c>
      <c r="B252" s="13" t="s">
        <v>193</v>
      </c>
      <c r="C252" s="13" t="s">
        <v>664</v>
      </c>
      <c r="D252" s="13" t="s">
        <v>371</v>
      </c>
    </row>
    <row r="253" spans="1:4">
      <c r="A253" s="13" t="s">
        <v>170</v>
      </c>
      <c r="B253" s="13" t="s">
        <v>193</v>
      </c>
      <c r="C253" s="13" t="s">
        <v>665</v>
      </c>
      <c r="D253" s="13" t="s">
        <v>371</v>
      </c>
    </row>
    <row r="254" spans="1:4">
      <c r="A254" s="13" t="s">
        <v>170</v>
      </c>
      <c r="B254" s="13" t="s">
        <v>193</v>
      </c>
      <c r="C254" s="13" t="s">
        <v>666</v>
      </c>
      <c r="D254" s="13" t="s">
        <v>371</v>
      </c>
    </row>
    <row r="255" spans="1:4">
      <c r="A255" s="13" t="s">
        <v>170</v>
      </c>
      <c r="B255" s="13" t="s">
        <v>193</v>
      </c>
      <c r="C255" s="13" t="s">
        <v>489</v>
      </c>
      <c r="D255" s="13" t="s">
        <v>371</v>
      </c>
    </row>
    <row r="256" spans="1:4">
      <c r="A256" s="13" t="s">
        <v>170</v>
      </c>
      <c r="B256" s="13" t="s">
        <v>193</v>
      </c>
      <c r="C256" s="13" t="s">
        <v>667</v>
      </c>
      <c r="D256" s="13" t="s">
        <v>371</v>
      </c>
    </row>
    <row r="257" spans="1:4">
      <c r="A257" s="13" t="s">
        <v>170</v>
      </c>
      <c r="B257" s="13" t="s">
        <v>193</v>
      </c>
      <c r="C257" s="13" t="s">
        <v>668</v>
      </c>
      <c r="D257" s="13" t="s">
        <v>371</v>
      </c>
    </row>
    <row r="258" spans="1:4">
      <c r="A258" s="13" t="s">
        <v>170</v>
      </c>
      <c r="B258" s="13" t="s">
        <v>193</v>
      </c>
      <c r="C258" s="13" t="s">
        <v>669</v>
      </c>
      <c r="D258" s="13" t="s">
        <v>371</v>
      </c>
    </row>
    <row r="259" spans="1:4">
      <c r="A259" s="13" t="s">
        <v>170</v>
      </c>
      <c r="B259" s="13" t="s">
        <v>196</v>
      </c>
      <c r="C259" s="13" t="s">
        <v>670</v>
      </c>
      <c r="D259" s="13" t="s">
        <v>371</v>
      </c>
    </row>
    <row r="260" spans="1:4">
      <c r="A260" s="13" t="s">
        <v>170</v>
      </c>
      <c r="B260" s="13" t="s">
        <v>196</v>
      </c>
      <c r="C260" s="13" t="s">
        <v>671</v>
      </c>
      <c r="D260" s="13" t="s">
        <v>371</v>
      </c>
    </row>
    <row r="261" spans="1:4">
      <c r="A261" s="13" t="s">
        <v>170</v>
      </c>
      <c r="B261" s="13" t="s">
        <v>196</v>
      </c>
      <c r="C261" s="13" t="s">
        <v>672</v>
      </c>
      <c r="D261" s="13" t="s">
        <v>371</v>
      </c>
    </row>
    <row r="262" spans="1:4">
      <c r="A262" s="13" t="s">
        <v>170</v>
      </c>
      <c r="B262" s="13" t="s">
        <v>196</v>
      </c>
      <c r="C262" s="13" t="s">
        <v>673</v>
      </c>
      <c r="D262" s="13" t="s">
        <v>371</v>
      </c>
    </row>
    <row r="263" spans="1:4">
      <c r="A263" s="13" t="s">
        <v>170</v>
      </c>
      <c r="B263" s="13" t="s">
        <v>196</v>
      </c>
      <c r="C263" s="13" t="s">
        <v>674</v>
      </c>
      <c r="D263" s="13" t="s">
        <v>371</v>
      </c>
    </row>
    <row r="264" spans="1:4">
      <c r="A264" s="13" t="s">
        <v>170</v>
      </c>
      <c r="B264" s="13" t="s">
        <v>196</v>
      </c>
      <c r="C264" s="13" t="s">
        <v>675</v>
      </c>
      <c r="D264" s="13" t="s">
        <v>371</v>
      </c>
    </row>
    <row r="265" spans="1:4">
      <c r="A265" s="13" t="s">
        <v>170</v>
      </c>
      <c r="B265" s="13" t="s">
        <v>196</v>
      </c>
      <c r="C265" s="13" t="s">
        <v>461</v>
      </c>
      <c r="D265" s="13" t="s">
        <v>371</v>
      </c>
    </row>
    <row r="266" spans="1:4">
      <c r="A266" s="13" t="s">
        <v>170</v>
      </c>
      <c r="B266" s="13" t="s">
        <v>196</v>
      </c>
      <c r="C266" s="13" t="s">
        <v>676</v>
      </c>
      <c r="D266" s="13" t="s">
        <v>371</v>
      </c>
    </row>
    <row r="267" spans="1:4">
      <c r="A267" s="13" t="s">
        <v>199</v>
      </c>
      <c r="B267" s="13" t="s">
        <v>203</v>
      </c>
      <c r="C267" s="13" t="s">
        <v>677</v>
      </c>
      <c r="D267" s="13" t="s">
        <v>371</v>
      </c>
    </row>
    <row r="268" spans="1:4">
      <c r="A268" s="13" t="s">
        <v>199</v>
      </c>
      <c r="B268" s="13" t="s">
        <v>203</v>
      </c>
      <c r="C268" s="13" t="s">
        <v>678</v>
      </c>
      <c r="D268" s="13" t="s">
        <v>371</v>
      </c>
    </row>
    <row r="269" spans="1:4">
      <c r="A269" s="13" t="s">
        <v>199</v>
      </c>
      <c r="B269" s="13" t="s">
        <v>203</v>
      </c>
      <c r="C269" s="13" t="s">
        <v>679</v>
      </c>
      <c r="D269" s="13" t="s">
        <v>371</v>
      </c>
    </row>
    <row r="270" spans="1:4">
      <c r="A270" s="13" t="s">
        <v>199</v>
      </c>
      <c r="B270" s="13" t="s">
        <v>203</v>
      </c>
      <c r="C270" s="13" t="s">
        <v>680</v>
      </c>
      <c r="D270" s="13" t="s">
        <v>371</v>
      </c>
    </row>
    <row r="271" spans="1:4">
      <c r="A271" s="13" t="s">
        <v>199</v>
      </c>
      <c r="B271" s="13" t="s">
        <v>203</v>
      </c>
      <c r="C271" s="13" t="s">
        <v>681</v>
      </c>
      <c r="D271" s="13" t="s">
        <v>371</v>
      </c>
    </row>
    <row r="272" spans="1:4">
      <c r="A272" s="13" t="s">
        <v>199</v>
      </c>
      <c r="B272" s="13" t="s">
        <v>203</v>
      </c>
      <c r="C272" s="13" t="s">
        <v>682</v>
      </c>
      <c r="D272" s="13" t="s">
        <v>371</v>
      </c>
    </row>
    <row r="273" spans="1:4">
      <c r="A273" s="13" t="s">
        <v>199</v>
      </c>
      <c r="B273" s="13" t="s">
        <v>206</v>
      </c>
      <c r="C273" s="13" t="s">
        <v>683</v>
      </c>
      <c r="D273" s="13" t="s">
        <v>371</v>
      </c>
    </row>
    <row r="274" spans="1:4">
      <c r="A274" s="13" t="s">
        <v>199</v>
      </c>
      <c r="B274" s="13" t="s">
        <v>206</v>
      </c>
      <c r="C274" s="13" t="s">
        <v>684</v>
      </c>
      <c r="D274" s="13" t="s">
        <v>371</v>
      </c>
    </row>
    <row r="275" spans="1:4">
      <c r="A275" s="13" t="s">
        <v>199</v>
      </c>
      <c r="B275" s="13" t="s">
        <v>206</v>
      </c>
      <c r="C275" s="13" t="s">
        <v>685</v>
      </c>
      <c r="D275" s="13" t="s">
        <v>371</v>
      </c>
    </row>
    <row r="276" spans="1:4">
      <c r="A276" s="13" t="s">
        <v>199</v>
      </c>
      <c r="B276" s="13" t="s">
        <v>206</v>
      </c>
      <c r="C276" s="13" t="s">
        <v>686</v>
      </c>
      <c r="D276" s="13" t="s">
        <v>371</v>
      </c>
    </row>
    <row r="277" spans="1:4">
      <c r="A277" s="13" t="s">
        <v>199</v>
      </c>
      <c r="B277" s="13" t="s">
        <v>206</v>
      </c>
      <c r="C277" s="13" t="s">
        <v>687</v>
      </c>
      <c r="D277" s="13" t="s">
        <v>371</v>
      </c>
    </row>
    <row r="278" spans="1:4">
      <c r="A278" s="13" t="s">
        <v>199</v>
      </c>
      <c r="B278" s="13" t="s">
        <v>209</v>
      </c>
      <c r="C278" s="13" t="s">
        <v>688</v>
      </c>
      <c r="D278" s="13" t="s">
        <v>371</v>
      </c>
    </row>
    <row r="279" spans="1:4">
      <c r="A279" s="13" t="s">
        <v>199</v>
      </c>
      <c r="B279" s="13" t="s">
        <v>209</v>
      </c>
      <c r="C279" s="13" t="s">
        <v>689</v>
      </c>
      <c r="D279" s="13" t="s">
        <v>371</v>
      </c>
    </row>
    <row r="280" spans="1:4">
      <c r="A280" s="13" t="s">
        <v>199</v>
      </c>
      <c r="B280" s="13" t="s">
        <v>209</v>
      </c>
      <c r="C280" s="13" t="s">
        <v>690</v>
      </c>
      <c r="D280" s="13" t="s">
        <v>371</v>
      </c>
    </row>
    <row r="281" spans="1:4">
      <c r="A281" s="13" t="s">
        <v>199</v>
      </c>
      <c r="B281" s="13" t="s">
        <v>209</v>
      </c>
      <c r="C281" s="13" t="s">
        <v>691</v>
      </c>
      <c r="D281" s="13" t="s">
        <v>371</v>
      </c>
    </row>
    <row r="282" spans="1:4">
      <c r="A282" s="13" t="s">
        <v>199</v>
      </c>
      <c r="B282" s="13" t="s">
        <v>209</v>
      </c>
      <c r="C282" s="13" t="s">
        <v>692</v>
      </c>
      <c r="D282" s="13" t="s">
        <v>371</v>
      </c>
    </row>
    <row r="283" spans="1:4">
      <c r="A283" s="13" t="s">
        <v>199</v>
      </c>
      <c r="B283" s="13" t="s">
        <v>211</v>
      </c>
      <c r="C283" s="27" t="s">
        <v>693</v>
      </c>
      <c r="D283" s="13" t="s">
        <v>371</v>
      </c>
    </row>
    <row r="284" spans="1:4">
      <c r="A284" s="13" t="s">
        <v>199</v>
      </c>
      <c r="B284" s="13" t="s">
        <v>211</v>
      </c>
      <c r="C284" s="27" t="s">
        <v>609</v>
      </c>
      <c r="D284" s="13" t="s">
        <v>371</v>
      </c>
    </row>
    <row r="285" spans="1:4">
      <c r="A285" s="13" t="s">
        <v>199</v>
      </c>
      <c r="B285" s="13" t="s">
        <v>211</v>
      </c>
      <c r="C285" s="27" t="s">
        <v>694</v>
      </c>
      <c r="D285" s="13" t="s">
        <v>371</v>
      </c>
    </row>
    <row r="286" spans="1:4">
      <c r="A286" s="13" t="s">
        <v>199</v>
      </c>
      <c r="B286" s="13" t="s">
        <v>211</v>
      </c>
      <c r="C286" s="27" t="s">
        <v>695</v>
      </c>
      <c r="D286" s="13" t="s">
        <v>371</v>
      </c>
    </row>
    <row r="287" spans="1:4">
      <c r="A287" s="13" t="s">
        <v>199</v>
      </c>
      <c r="B287" s="13" t="s">
        <v>211</v>
      </c>
      <c r="C287" s="27" t="s">
        <v>696</v>
      </c>
      <c r="D287" s="13" t="s">
        <v>371</v>
      </c>
    </row>
    <row r="288" spans="1:4">
      <c r="A288" s="13" t="s">
        <v>199</v>
      </c>
      <c r="B288" s="13" t="s">
        <v>211</v>
      </c>
      <c r="C288" s="27" t="s">
        <v>697</v>
      </c>
      <c r="D288" s="13" t="s">
        <v>371</v>
      </c>
    </row>
    <row r="289" spans="1:4">
      <c r="A289" s="13" t="s">
        <v>199</v>
      </c>
      <c r="B289" s="13" t="s">
        <v>214</v>
      </c>
      <c r="C289" s="27" t="s">
        <v>698</v>
      </c>
      <c r="D289" s="13" t="s">
        <v>371</v>
      </c>
    </row>
    <row r="290" spans="1:4">
      <c r="A290" s="13" t="s">
        <v>199</v>
      </c>
      <c r="B290" s="13" t="s">
        <v>214</v>
      </c>
      <c r="C290" s="27" t="s">
        <v>699</v>
      </c>
      <c r="D290" s="13" t="s">
        <v>371</v>
      </c>
    </row>
    <row r="291" spans="1:4">
      <c r="A291" s="13" t="s">
        <v>199</v>
      </c>
      <c r="B291" s="13" t="s">
        <v>214</v>
      </c>
      <c r="C291" s="27" t="s">
        <v>700</v>
      </c>
      <c r="D291" s="13" t="s">
        <v>371</v>
      </c>
    </row>
    <row r="292" spans="1:4">
      <c r="A292" s="13" t="s">
        <v>199</v>
      </c>
      <c r="B292" s="13" t="s">
        <v>214</v>
      </c>
      <c r="C292" s="27" t="s">
        <v>701</v>
      </c>
      <c r="D292" s="13" t="s">
        <v>371</v>
      </c>
    </row>
    <row r="293" spans="1:4">
      <c r="A293" s="13" t="s">
        <v>199</v>
      </c>
      <c r="B293" s="13" t="s">
        <v>214</v>
      </c>
      <c r="C293" s="27" t="s">
        <v>702</v>
      </c>
      <c r="D293" s="13" t="s">
        <v>371</v>
      </c>
    </row>
    <row r="294" spans="1:4">
      <c r="A294" s="13" t="s">
        <v>199</v>
      </c>
      <c r="B294" s="13" t="s">
        <v>214</v>
      </c>
      <c r="C294" s="27" t="s">
        <v>703</v>
      </c>
      <c r="D294" s="13" t="s">
        <v>371</v>
      </c>
    </row>
    <row r="295" spans="1:4">
      <c r="A295" s="13" t="s">
        <v>199</v>
      </c>
      <c r="B295" s="13" t="s">
        <v>214</v>
      </c>
      <c r="C295" s="13" t="s">
        <v>704</v>
      </c>
      <c r="D295" s="13" t="s">
        <v>371</v>
      </c>
    </row>
    <row r="296" spans="1:4">
      <c r="A296" s="13" t="s">
        <v>199</v>
      </c>
      <c r="B296" s="13" t="s">
        <v>214</v>
      </c>
      <c r="C296" s="13" t="s">
        <v>705</v>
      </c>
      <c r="D296" s="13" t="s">
        <v>371</v>
      </c>
    </row>
    <row r="297" spans="1:4">
      <c r="A297" s="13" t="s">
        <v>199</v>
      </c>
      <c r="B297" s="13" t="s">
        <v>216</v>
      </c>
      <c r="C297" s="13" t="s">
        <v>706</v>
      </c>
      <c r="D297" s="13" t="s">
        <v>371</v>
      </c>
    </row>
    <row r="298" spans="1:4">
      <c r="A298" s="13" t="s">
        <v>199</v>
      </c>
      <c r="B298" s="13" t="s">
        <v>216</v>
      </c>
      <c r="C298" s="13" t="s">
        <v>707</v>
      </c>
      <c r="D298" s="13" t="s">
        <v>371</v>
      </c>
    </row>
    <row r="299" spans="1:4">
      <c r="A299" s="13" t="s">
        <v>199</v>
      </c>
      <c r="B299" s="13" t="s">
        <v>216</v>
      </c>
      <c r="C299" s="13" t="s">
        <v>708</v>
      </c>
      <c r="D299" s="13" t="s">
        <v>371</v>
      </c>
    </row>
    <row r="300" spans="1:4">
      <c r="A300" s="13" t="s">
        <v>199</v>
      </c>
      <c r="B300" s="13" t="s">
        <v>216</v>
      </c>
      <c r="C300" s="13" t="s">
        <v>709</v>
      </c>
      <c r="D300" s="13" t="s">
        <v>371</v>
      </c>
    </row>
    <row r="301" spans="1:4">
      <c r="A301" s="13" t="s">
        <v>199</v>
      </c>
      <c r="B301" s="13" t="s">
        <v>216</v>
      </c>
      <c r="C301" s="13" t="s">
        <v>710</v>
      </c>
      <c r="D301" s="13" t="s">
        <v>371</v>
      </c>
    </row>
    <row r="302" spans="1:4">
      <c r="A302" s="13" t="s">
        <v>199</v>
      </c>
      <c r="B302" s="13" t="s">
        <v>216</v>
      </c>
      <c r="C302" s="13" t="s">
        <v>711</v>
      </c>
      <c r="D302" s="13" t="s">
        <v>371</v>
      </c>
    </row>
    <row r="303" spans="1:4">
      <c r="A303" s="13" t="s">
        <v>199</v>
      </c>
      <c r="B303" s="13" t="s">
        <v>216</v>
      </c>
      <c r="C303" s="13" t="s">
        <v>712</v>
      </c>
      <c r="D303" s="13" t="s">
        <v>371</v>
      </c>
    </row>
    <row r="304" spans="1:4">
      <c r="A304" s="13" t="s">
        <v>199</v>
      </c>
      <c r="B304" s="13" t="s">
        <v>218</v>
      </c>
      <c r="C304" s="13" t="s">
        <v>678</v>
      </c>
      <c r="D304" s="13" t="s">
        <v>371</v>
      </c>
    </row>
    <row r="305" spans="1:4">
      <c r="A305" s="13" t="s">
        <v>199</v>
      </c>
      <c r="B305" s="13" t="s">
        <v>218</v>
      </c>
      <c r="C305" s="13" t="s">
        <v>713</v>
      </c>
      <c r="D305" s="13" t="s">
        <v>371</v>
      </c>
    </row>
    <row r="306" spans="1:4">
      <c r="A306" s="13" t="s">
        <v>199</v>
      </c>
      <c r="B306" s="13" t="s">
        <v>218</v>
      </c>
      <c r="C306" s="13" t="s">
        <v>714</v>
      </c>
      <c r="D306" s="13" t="s">
        <v>371</v>
      </c>
    </row>
    <row r="307" spans="1:4">
      <c r="A307" s="13" t="s">
        <v>199</v>
      </c>
      <c r="B307" s="13" t="s">
        <v>218</v>
      </c>
      <c r="C307" s="13" t="s">
        <v>715</v>
      </c>
      <c r="D307" s="13" t="s">
        <v>371</v>
      </c>
    </row>
    <row r="308" spans="1:4">
      <c r="A308" s="13" t="s">
        <v>199</v>
      </c>
      <c r="B308" s="13" t="s">
        <v>218</v>
      </c>
      <c r="C308" s="13" t="s">
        <v>716</v>
      </c>
      <c r="D308" s="13" t="s">
        <v>371</v>
      </c>
    </row>
    <row r="309" spans="1:4">
      <c r="A309" s="13" t="s">
        <v>199</v>
      </c>
      <c r="B309" s="13" t="s">
        <v>218</v>
      </c>
      <c r="C309" s="13" t="s">
        <v>717</v>
      </c>
      <c r="D309" s="13" t="s">
        <v>371</v>
      </c>
    </row>
    <row r="310" spans="1:4">
      <c r="A310" s="13" t="s">
        <v>199</v>
      </c>
      <c r="B310" s="13" t="s">
        <v>218</v>
      </c>
      <c r="C310" s="13" t="s">
        <v>718</v>
      </c>
      <c r="D310" s="13" t="s">
        <v>371</v>
      </c>
    </row>
    <row r="311" spans="1:4">
      <c r="A311" s="13" t="s">
        <v>199</v>
      </c>
      <c r="B311" s="13" t="s">
        <v>218</v>
      </c>
      <c r="C311" s="13" t="s">
        <v>719</v>
      </c>
      <c r="D311" s="13" t="s">
        <v>371</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dimension ref="A1:F70"/>
  <sheetViews>
    <sheetView showGridLines="0" workbookViewId="0">
      <pane ySplit="3" topLeftCell="A64" activePane="bottomLeft" state="frozen"/>
      <selection pane="bottomLeft" activeCell="B73" sqref="B73"/>
    </sheetView>
  </sheetViews>
  <sheetFormatPr defaultRowHeight="15"/>
  <cols>
    <col min="1" max="1" width="23" customWidth="1"/>
    <col min="2" max="2" width="30" customWidth="1"/>
    <col min="3" max="3" width="31" customWidth="1"/>
    <col min="4" max="4" width="65" customWidth="1"/>
    <col min="5" max="5" width="31" customWidth="1"/>
    <col min="6" max="6" width="12" customWidth="1"/>
  </cols>
  <sheetData>
    <row r="1" spans="1:6" ht="19.5">
      <c r="A1" s="24" t="s">
        <v>221</v>
      </c>
      <c r="B1" s="22"/>
      <c r="C1" s="22"/>
      <c r="D1" s="22"/>
      <c r="E1" s="22"/>
      <c r="F1" s="22"/>
    </row>
    <row r="3" spans="1:6">
      <c r="A3" s="5" t="s">
        <v>3</v>
      </c>
      <c r="B3" s="5" t="s">
        <v>4</v>
      </c>
      <c r="C3" s="5" t="s">
        <v>5</v>
      </c>
      <c r="D3" s="5" t="s">
        <v>222</v>
      </c>
      <c r="E3" s="5" t="s">
        <v>223</v>
      </c>
      <c r="F3" s="5" t="s">
        <v>8</v>
      </c>
    </row>
    <row r="4" spans="1:6" ht="30">
      <c r="A4" s="2" t="s">
        <v>17</v>
      </c>
      <c r="B4" s="2" t="s">
        <v>18</v>
      </c>
      <c r="C4" s="2" t="s">
        <v>19</v>
      </c>
      <c r="D4" s="2" t="s">
        <v>20</v>
      </c>
      <c r="E4" s="2" t="s">
        <v>21</v>
      </c>
      <c r="F4" s="2" t="s">
        <v>22</v>
      </c>
    </row>
    <row r="5" spans="1:6" ht="30">
      <c r="A5" s="2" t="s">
        <v>17</v>
      </c>
      <c r="B5" s="2" t="s">
        <v>18</v>
      </c>
      <c r="C5" s="2" t="s">
        <v>24</v>
      </c>
      <c r="D5" s="2" t="s">
        <v>25</v>
      </c>
      <c r="E5" s="2" t="s">
        <v>26</v>
      </c>
      <c r="F5" s="2" t="s">
        <v>27</v>
      </c>
    </row>
    <row r="6" spans="1:6" ht="30">
      <c r="A6" s="2" t="s">
        <v>17</v>
      </c>
      <c r="B6" s="2" t="s">
        <v>18</v>
      </c>
      <c r="C6" s="2" t="s">
        <v>28</v>
      </c>
      <c r="D6" s="2" t="s">
        <v>29</v>
      </c>
      <c r="E6" s="2" t="s">
        <v>30</v>
      </c>
      <c r="F6" s="2" t="s">
        <v>27</v>
      </c>
    </row>
    <row r="7" spans="1:6" ht="30">
      <c r="A7" s="2" t="s">
        <v>17</v>
      </c>
      <c r="B7" s="2" t="s">
        <v>18</v>
      </c>
      <c r="C7" s="2" t="s">
        <v>31</v>
      </c>
      <c r="D7" s="2" t="s">
        <v>32</v>
      </c>
      <c r="E7" s="2" t="s">
        <v>33</v>
      </c>
      <c r="F7" s="2" t="s">
        <v>27</v>
      </c>
    </row>
    <row r="8" spans="1:6" ht="30">
      <c r="A8" s="2" t="s">
        <v>17</v>
      </c>
      <c r="B8" s="2" t="s">
        <v>18</v>
      </c>
      <c r="C8" s="2" t="s">
        <v>34</v>
      </c>
      <c r="D8" s="2" t="s">
        <v>35</v>
      </c>
      <c r="E8" s="2" t="s">
        <v>36</v>
      </c>
      <c r="F8" s="2" t="s">
        <v>22</v>
      </c>
    </row>
    <row r="9" spans="1:6" ht="30">
      <c r="A9" s="2" t="s">
        <v>17</v>
      </c>
      <c r="B9" s="2" t="s">
        <v>18</v>
      </c>
      <c r="C9" s="2" t="s">
        <v>37</v>
      </c>
      <c r="D9" s="2" t="s">
        <v>38</v>
      </c>
      <c r="E9" s="2" t="s">
        <v>39</v>
      </c>
      <c r="F9" s="2" t="s">
        <v>22</v>
      </c>
    </row>
    <row r="10" spans="1:6" ht="30">
      <c r="A10" s="2" t="s">
        <v>17</v>
      </c>
      <c r="B10" s="2" t="s">
        <v>18</v>
      </c>
      <c r="C10" s="2" t="s">
        <v>40</v>
      </c>
      <c r="D10" s="2" t="s">
        <v>41</v>
      </c>
      <c r="E10" s="2" t="s">
        <v>42</v>
      </c>
      <c r="F10" s="2" t="s">
        <v>22</v>
      </c>
    </row>
    <row r="11" spans="1:6" ht="30">
      <c r="A11" s="2" t="s">
        <v>17</v>
      </c>
      <c r="B11" s="2" t="s">
        <v>18</v>
      </c>
      <c r="C11" s="2" t="s">
        <v>43</v>
      </c>
      <c r="D11" s="2" t="s">
        <v>44</v>
      </c>
      <c r="E11" s="2" t="s">
        <v>45</v>
      </c>
      <c r="F11" s="2" t="s">
        <v>22</v>
      </c>
    </row>
    <row r="12" spans="1:6" ht="30">
      <c r="A12" s="2" t="s">
        <v>17</v>
      </c>
      <c r="B12" s="2" t="s">
        <v>18</v>
      </c>
      <c r="C12" s="2" t="s">
        <v>46</v>
      </c>
      <c r="D12" s="2" t="s">
        <v>47</v>
      </c>
      <c r="E12" s="2" t="s">
        <v>48</v>
      </c>
      <c r="F12" s="2" t="s">
        <v>22</v>
      </c>
    </row>
    <row r="13" spans="1:6" ht="30">
      <c r="A13" s="2" t="s">
        <v>17</v>
      </c>
      <c r="B13" s="2" t="s">
        <v>18</v>
      </c>
      <c r="C13" s="2" t="s">
        <v>49</v>
      </c>
      <c r="D13" s="2" t="s">
        <v>50</v>
      </c>
      <c r="E13" s="2" t="s">
        <v>51</v>
      </c>
      <c r="F13" s="2" t="s">
        <v>22</v>
      </c>
    </row>
    <row r="14" spans="1:6" ht="30">
      <c r="A14" s="2" t="s">
        <v>17</v>
      </c>
      <c r="B14" s="2" t="s">
        <v>52</v>
      </c>
      <c r="C14" s="2" t="s">
        <v>53</v>
      </c>
      <c r="D14" s="2" t="s">
        <v>54</v>
      </c>
      <c r="E14" s="2" t="s">
        <v>55</v>
      </c>
      <c r="F14" s="2" t="s">
        <v>22</v>
      </c>
    </row>
    <row r="15" spans="1:6" ht="30">
      <c r="A15" s="2" t="s">
        <v>17</v>
      </c>
      <c r="B15" s="2" t="s">
        <v>52</v>
      </c>
      <c r="C15" s="2" t="s">
        <v>56</v>
      </c>
      <c r="D15" s="2" t="s">
        <v>57</v>
      </c>
      <c r="E15" s="2" t="s">
        <v>58</v>
      </c>
      <c r="F15" s="2" t="s">
        <v>22</v>
      </c>
    </row>
    <row r="16" spans="1:6" ht="30">
      <c r="A16" s="2" t="s">
        <v>17</v>
      </c>
      <c r="B16" s="2" t="s">
        <v>52</v>
      </c>
      <c r="C16" s="2" t="s">
        <v>59</v>
      </c>
      <c r="D16" s="2" t="s">
        <v>60</v>
      </c>
      <c r="E16" s="2" t="s">
        <v>61</v>
      </c>
      <c r="F16" s="2" t="s">
        <v>27</v>
      </c>
    </row>
    <row r="17" spans="1:6" ht="30">
      <c r="A17" s="2" t="s">
        <v>17</v>
      </c>
      <c r="B17" s="2" t="s">
        <v>52</v>
      </c>
      <c r="C17" s="2" t="s">
        <v>62</v>
      </c>
      <c r="D17" s="2" t="s">
        <v>63</v>
      </c>
      <c r="E17" s="2" t="s">
        <v>64</v>
      </c>
      <c r="F17" s="2" t="s">
        <v>22</v>
      </c>
    </row>
    <row r="18" spans="1:6" ht="45">
      <c r="A18" s="2" t="s">
        <v>17</v>
      </c>
      <c r="B18" s="2" t="s">
        <v>52</v>
      </c>
      <c r="C18" s="2" t="s">
        <v>65</v>
      </c>
      <c r="D18" s="2" t="s">
        <v>66</v>
      </c>
      <c r="E18" s="2" t="s">
        <v>67</v>
      </c>
      <c r="F18" s="2" t="s">
        <v>22</v>
      </c>
    </row>
    <row r="19" spans="1:6" ht="30">
      <c r="A19" s="2" t="s">
        <v>17</v>
      </c>
      <c r="B19" s="2" t="s">
        <v>68</v>
      </c>
      <c r="C19" s="2" t="s">
        <v>69</v>
      </c>
      <c r="D19" s="2" t="s">
        <v>70</v>
      </c>
      <c r="E19" s="2" t="s">
        <v>71</v>
      </c>
      <c r="F19" s="2" t="s">
        <v>22</v>
      </c>
    </row>
    <row r="20" spans="1:6" ht="30">
      <c r="A20" s="2" t="s">
        <v>17</v>
      </c>
      <c r="B20" s="2" t="s">
        <v>68</v>
      </c>
      <c r="C20" s="2" t="s">
        <v>72</v>
      </c>
      <c r="D20" s="2" t="s">
        <v>73</v>
      </c>
      <c r="E20" s="2" t="s">
        <v>74</v>
      </c>
      <c r="F20" s="2" t="s">
        <v>22</v>
      </c>
    </row>
    <row r="21" spans="1:6" ht="30">
      <c r="A21" s="2" t="s">
        <v>17</v>
      </c>
      <c r="B21" s="2" t="s">
        <v>68</v>
      </c>
      <c r="C21" s="2" t="s">
        <v>75</v>
      </c>
      <c r="D21" s="2" t="s">
        <v>76</v>
      </c>
      <c r="E21" s="2" t="s">
        <v>77</v>
      </c>
      <c r="F21" s="2" t="s">
        <v>22</v>
      </c>
    </row>
    <row r="22" spans="1:6" ht="30">
      <c r="A22" s="2" t="s">
        <v>17</v>
      </c>
      <c r="B22" s="2" t="s">
        <v>68</v>
      </c>
      <c r="C22" s="2" t="s">
        <v>78</v>
      </c>
      <c r="D22" s="2" t="s">
        <v>79</v>
      </c>
      <c r="E22" s="2" t="s">
        <v>80</v>
      </c>
      <c r="F22" s="2" t="s">
        <v>22</v>
      </c>
    </row>
    <row r="23" spans="1:6" ht="30">
      <c r="A23" s="2" t="s">
        <v>17</v>
      </c>
      <c r="B23" s="2" t="s">
        <v>81</v>
      </c>
      <c r="C23" s="2" t="s">
        <v>82</v>
      </c>
      <c r="D23" s="2" t="s">
        <v>83</v>
      </c>
      <c r="E23" s="2" t="s">
        <v>84</v>
      </c>
      <c r="F23" s="2" t="s">
        <v>27</v>
      </c>
    </row>
    <row r="24" spans="1:6" ht="30">
      <c r="A24" s="2" t="s">
        <v>17</v>
      </c>
      <c r="B24" s="2" t="s">
        <v>81</v>
      </c>
      <c r="C24" s="2" t="s">
        <v>85</v>
      </c>
      <c r="D24" s="2" t="s">
        <v>86</v>
      </c>
      <c r="E24" s="2" t="s">
        <v>87</v>
      </c>
      <c r="F24" s="2" t="s">
        <v>22</v>
      </c>
    </row>
    <row r="25" spans="1:6" ht="30">
      <c r="A25" s="2" t="s">
        <v>17</v>
      </c>
      <c r="B25" s="2" t="s">
        <v>81</v>
      </c>
      <c r="C25" s="2" t="s">
        <v>88</v>
      </c>
      <c r="D25" s="2" t="s">
        <v>89</v>
      </c>
      <c r="E25" s="2" t="s">
        <v>90</v>
      </c>
      <c r="F25" s="2" t="s">
        <v>22</v>
      </c>
    </row>
    <row r="26" spans="1:6" ht="30">
      <c r="A26" s="2" t="s">
        <v>17</v>
      </c>
      <c r="B26" s="2" t="s">
        <v>81</v>
      </c>
      <c r="C26" s="2" t="s">
        <v>91</v>
      </c>
      <c r="D26" s="2" t="s">
        <v>92</v>
      </c>
      <c r="E26" s="2" t="s">
        <v>93</v>
      </c>
      <c r="F26" s="2" t="s">
        <v>22</v>
      </c>
    </row>
    <row r="27" spans="1:6" ht="30">
      <c r="A27" s="2" t="s">
        <v>17</v>
      </c>
      <c r="B27" s="2" t="s">
        <v>81</v>
      </c>
      <c r="C27" s="2" t="s">
        <v>94</v>
      </c>
      <c r="D27" s="2" t="s">
        <v>95</v>
      </c>
      <c r="E27" s="2" t="s">
        <v>96</v>
      </c>
      <c r="F27" s="2" t="s">
        <v>22</v>
      </c>
    </row>
    <row r="28" spans="1:6" ht="30">
      <c r="A28" s="2" t="s">
        <v>97</v>
      </c>
      <c r="B28" s="2" t="s">
        <v>98</v>
      </c>
      <c r="C28" s="2" t="s">
        <v>99</v>
      </c>
      <c r="D28" s="2" t="s">
        <v>100</v>
      </c>
      <c r="E28" s="2" t="s">
        <v>101</v>
      </c>
      <c r="F28" s="2" t="s">
        <v>22</v>
      </c>
    </row>
    <row r="29" spans="1:6" ht="30">
      <c r="A29" s="2" t="s">
        <v>97</v>
      </c>
      <c r="B29" s="2" t="s">
        <v>98</v>
      </c>
      <c r="C29" s="2" t="s">
        <v>102</v>
      </c>
      <c r="D29" s="2" t="s">
        <v>103</v>
      </c>
      <c r="E29" s="2" t="s">
        <v>104</v>
      </c>
      <c r="F29" s="2" t="s">
        <v>22</v>
      </c>
    </row>
    <row r="30" spans="1:6" ht="30">
      <c r="A30" s="2" t="s">
        <v>97</v>
      </c>
      <c r="B30" s="2" t="s">
        <v>98</v>
      </c>
      <c r="C30" s="2" t="s">
        <v>105</v>
      </c>
      <c r="D30" s="2" t="s">
        <v>106</v>
      </c>
      <c r="E30" s="2" t="s">
        <v>107</v>
      </c>
      <c r="F30" s="2" t="s">
        <v>22</v>
      </c>
    </row>
    <row r="31" spans="1:6" ht="30">
      <c r="A31" s="2" t="s">
        <v>97</v>
      </c>
      <c r="B31" s="2" t="s">
        <v>98</v>
      </c>
      <c r="C31" s="2" t="s">
        <v>108</v>
      </c>
      <c r="D31" s="2" t="s">
        <v>109</v>
      </c>
      <c r="E31" s="2" t="s">
        <v>110</v>
      </c>
      <c r="F31" s="2" t="s">
        <v>22</v>
      </c>
    </row>
    <row r="32" spans="1:6" ht="30">
      <c r="A32" s="2" t="s">
        <v>97</v>
      </c>
      <c r="B32" s="2" t="s">
        <v>98</v>
      </c>
      <c r="C32" s="2" t="s">
        <v>111</v>
      </c>
      <c r="D32" s="2" t="s">
        <v>112</v>
      </c>
      <c r="E32" s="2" t="s">
        <v>113</v>
      </c>
      <c r="F32" s="2" t="s">
        <v>22</v>
      </c>
    </row>
    <row r="33" spans="1:6" ht="30">
      <c r="A33" s="2" t="s">
        <v>97</v>
      </c>
      <c r="B33" s="2" t="s">
        <v>98</v>
      </c>
      <c r="C33" s="2" t="s">
        <v>114</v>
      </c>
      <c r="D33" s="2" t="s">
        <v>115</v>
      </c>
      <c r="E33" s="2" t="s">
        <v>116</v>
      </c>
      <c r="F33" s="2" t="s">
        <v>22</v>
      </c>
    </row>
    <row r="34" spans="1:6" ht="30">
      <c r="A34" s="2" t="s">
        <v>97</v>
      </c>
      <c r="B34" s="2" t="s">
        <v>98</v>
      </c>
      <c r="C34" s="2" t="s">
        <v>117</v>
      </c>
      <c r="D34" s="2" t="s">
        <v>118</v>
      </c>
      <c r="E34" s="2" t="s">
        <v>113</v>
      </c>
      <c r="F34" s="2" t="s">
        <v>22</v>
      </c>
    </row>
    <row r="35" spans="1:6" ht="30">
      <c r="A35" s="2" t="s">
        <v>97</v>
      </c>
      <c r="B35" s="2" t="s">
        <v>98</v>
      </c>
      <c r="C35" s="2" t="s">
        <v>119</v>
      </c>
      <c r="D35" s="2" t="s">
        <v>120</v>
      </c>
      <c r="E35" s="2" t="s">
        <v>121</v>
      </c>
      <c r="F35" s="2" t="s">
        <v>22</v>
      </c>
    </row>
    <row r="36" spans="1:6" ht="30">
      <c r="A36" s="2" t="s">
        <v>97</v>
      </c>
      <c r="B36" s="2" t="s">
        <v>98</v>
      </c>
      <c r="C36" s="2" t="s">
        <v>122</v>
      </c>
      <c r="D36" s="2" t="s">
        <v>123</v>
      </c>
      <c r="E36" s="2" t="s">
        <v>124</v>
      </c>
      <c r="F36" s="2" t="s">
        <v>22</v>
      </c>
    </row>
    <row r="37" spans="1:6" ht="30">
      <c r="A37" s="2" t="s">
        <v>97</v>
      </c>
      <c r="B37" s="2" t="s">
        <v>98</v>
      </c>
      <c r="C37" s="2" t="s">
        <v>125</v>
      </c>
      <c r="D37" s="2" t="s">
        <v>126</v>
      </c>
      <c r="E37" s="2" t="s">
        <v>127</v>
      </c>
      <c r="F37" s="2" t="s">
        <v>22</v>
      </c>
    </row>
    <row r="38" spans="1:6" ht="30">
      <c r="A38" s="2" t="s">
        <v>97</v>
      </c>
      <c r="B38" s="2" t="s">
        <v>98</v>
      </c>
      <c r="C38" s="2" t="s">
        <v>128</v>
      </c>
      <c r="D38" s="2" t="s">
        <v>129</v>
      </c>
      <c r="E38" s="2" t="s">
        <v>130</v>
      </c>
      <c r="F38" s="2" t="s">
        <v>27</v>
      </c>
    </row>
    <row r="39" spans="1:6" ht="30">
      <c r="A39" s="2" t="s">
        <v>97</v>
      </c>
      <c r="B39" s="2" t="s">
        <v>98</v>
      </c>
      <c r="C39" s="2" t="s">
        <v>131</v>
      </c>
      <c r="D39" s="2" t="s">
        <v>132</v>
      </c>
      <c r="E39" s="2" t="s">
        <v>133</v>
      </c>
      <c r="F39" s="2" t="s">
        <v>27</v>
      </c>
    </row>
    <row r="40" spans="1:6" ht="30">
      <c r="A40" s="2" t="s">
        <v>97</v>
      </c>
      <c r="B40" s="2" t="s">
        <v>134</v>
      </c>
      <c r="C40" s="2" t="s">
        <v>135</v>
      </c>
      <c r="D40" s="2" t="s">
        <v>136</v>
      </c>
      <c r="E40" s="2" t="s">
        <v>137</v>
      </c>
      <c r="F40" s="2" t="s">
        <v>22</v>
      </c>
    </row>
    <row r="41" spans="1:6" ht="30">
      <c r="A41" s="2" t="s">
        <v>97</v>
      </c>
      <c r="B41" s="2" t="s">
        <v>134</v>
      </c>
      <c r="C41" s="2" t="s">
        <v>138</v>
      </c>
      <c r="D41" s="2" t="s">
        <v>139</v>
      </c>
      <c r="E41" s="2" t="s">
        <v>140</v>
      </c>
      <c r="F41" s="2" t="s">
        <v>22</v>
      </c>
    </row>
    <row r="42" spans="1:6" ht="30">
      <c r="A42" s="2" t="s">
        <v>97</v>
      </c>
      <c r="B42" s="2" t="s">
        <v>134</v>
      </c>
      <c r="C42" s="2" t="s">
        <v>141</v>
      </c>
      <c r="D42" s="2" t="s">
        <v>142</v>
      </c>
      <c r="E42" s="2" t="s">
        <v>143</v>
      </c>
      <c r="F42" s="2" t="s">
        <v>22</v>
      </c>
    </row>
    <row r="43" spans="1:6" ht="30">
      <c r="A43" s="2" t="s">
        <v>97</v>
      </c>
      <c r="B43" s="2" t="s">
        <v>134</v>
      </c>
      <c r="C43" s="2" t="s">
        <v>144</v>
      </c>
      <c r="D43" s="2" t="s">
        <v>145</v>
      </c>
      <c r="E43" s="2" t="s">
        <v>140</v>
      </c>
      <c r="F43" s="2" t="s">
        <v>27</v>
      </c>
    </row>
    <row r="44" spans="1:6" ht="30">
      <c r="A44" s="2" t="s">
        <v>97</v>
      </c>
      <c r="B44" s="2" t="s">
        <v>134</v>
      </c>
      <c r="C44" s="2" t="s">
        <v>146</v>
      </c>
      <c r="D44" s="2" t="s">
        <v>147</v>
      </c>
      <c r="E44" s="2" t="s">
        <v>140</v>
      </c>
      <c r="F44" s="2" t="s">
        <v>27</v>
      </c>
    </row>
    <row r="45" spans="1:6" ht="30">
      <c r="A45" s="2" t="s">
        <v>97</v>
      </c>
      <c r="B45" s="2" t="s">
        <v>134</v>
      </c>
      <c r="C45" s="2" t="s">
        <v>148</v>
      </c>
      <c r="D45" s="2" t="s">
        <v>149</v>
      </c>
      <c r="E45" s="2" t="s">
        <v>140</v>
      </c>
      <c r="F45" s="2" t="s">
        <v>22</v>
      </c>
    </row>
    <row r="46" spans="1:6" ht="30">
      <c r="A46" s="2" t="s">
        <v>97</v>
      </c>
      <c r="B46" s="2" t="s">
        <v>134</v>
      </c>
      <c r="C46" s="2" t="s">
        <v>150</v>
      </c>
      <c r="D46" s="2" t="s">
        <v>151</v>
      </c>
      <c r="E46" s="2" t="s">
        <v>152</v>
      </c>
      <c r="F46" s="2" t="s">
        <v>27</v>
      </c>
    </row>
    <row r="47" spans="1:6" ht="30">
      <c r="A47" s="2" t="s">
        <v>97</v>
      </c>
      <c r="B47" s="2" t="s">
        <v>134</v>
      </c>
      <c r="C47" s="2" t="s">
        <v>153</v>
      </c>
      <c r="D47" s="2" t="s">
        <v>154</v>
      </c>
      <c r="E47" s="2" t="s">
        <v>152</v>
      </c>
      <c r="F47" s="2" t="s">
        <v>27</v>
      </c>
    </row>
    <row r="48" spans="1:6" ht="30">
      <c r="A48" s="2" t="s">
        <v>97</v>
      </c>
      <c r="B48" s="2" t="s">
        <v>134</v>
      </c>
      <c r="C48" s="2" t="s">
        <v>155</v>
      </c>
      <c r="D48" s="2" t="s">
        <v>156</v>
      </c>
      <c r="E48" s="2" t="s">
        <v>157</v>
      </c>
      <c r="F48" s="2" t="s">
        <v>22</v>
      </c>
    </row>
    <row r="49" spans="1:6" ht="30">
      <c r="A49" s="2" t="s">
        <v>97</v>
      </c>
      <c r="B49" s="2" t="s">
        <v>134</v>
      </c>
      <c r="C49" s="2" t="s">
        <v>158</v>
      </c>
      <c r="D49" s="2" t="s">
        <v>159</v>
      </c>
      <c r="E49" s="2" t="s">
        <v>160</v>
      </c>
      <c r="F49" s="2" t="s">
        <v>27</v>
      </c>
    </row>
    <row r="50" spans="1:6" ht="30">
      <c r="A50" s="2" t="s">
        <v>97</v>
      </c>
      <c r="B50" s="2" t="s">
        <v>134</v>
      </c>
      <c r="C50" s="2" t="s">
        <v>161</v>
      </c>
      <c r="D50" s="2" t="s">
        <v>162</v>
      </c>
      <c r="E50" s="2" t="s">
        <v>163</v>
      </c>
      <c r="F50" s="2" t="s">
        <v>22</v>
      </c>
    </row>
    <row r="51" spans="1:6" ht="30">
      <c r="A51" s="2" t="s">
        <v>97</v>
      </c>
      <c r="B51" s="2" t="s">
        <v>134</v>
      </c>
      <c r="C51" s="2" t="s">
        <v>164</v>
      </c>
      <c r="D51" s="2" t="s">
        <v>165</v>
      </c>
      <c r="E51" s="2" t="s">
        <v>166</v>
      </c>
      <c r="F51" s="2" t="s">
        <v>22</v>
      </c>
    </row>
    <row r="52" spans="1:6" ht="30">
      <c r="A52" s="2" t="s">
        <v>97</v>
      </c>
      <c r="B52" s="2" t="s">
        <v>134</v>
      </c>
      <c r="C52" s="2" t="s">
        <v>167</v>
      </c>
      <c r="D52" s="2" t="s">
        <v>168</v>
      </c>
      <c r="E52" s="2" t="s">
        <v>169</v>
      </c>
      <c r="F52" s="2" t="s">
        <v>22</v>
      </c>
    </row>
    <row r="53" spans="1:6" ht="30">
      <c r="A53" s="2" t="s">
        <v>97</v>
      </c>
      <c r="B53" s="2" t="s">
        <v>170</v>
      </c>
      <c r="C53" s="2" t="s">
        <v>171</v>
      </c>
      <c r="D53" s="2" t="s">
        <v>172</v>
      </c>
      <c r="E53" s="2" t="s">
        <v>173</v>
      </c>
      <c r="F53" s="2" t="s">
        <v>22</v>
      </c>
    </row>
    <row r="54" spans="1:6" ht="30">
      <c r="A54" s="2" t="s">
        <v>97</v>
      </c>
      <c r="B54" s="2" t="s">
        <v>170</v>
      </c>
      <c r="C54" s="2" t="s">
        <v>174</v>
      </c>
      <c r="D54" s="2" t="s">
        <v>175</v>
      </c>
      <c r="E54" s="2" t="s">
        <v>176</v>
      </c>
      <c r="F54" s="2" t="s">
        <v>22</v>
      </c>
    </row>
    <row r="55" spans="1:6" ht="30">
      <c r="A55" s="2" t="s">
        <v>97</v>
      </c>
      <c r="B55" s="2" t="s">
        <v>170</v>
      </c>
      <c r="C55" s="2" t="s">
        <v>177</v>
      </c>
      <c r="D55" s="2" t="s">
        <v>178</v>
      </c>
      <c r="E55" s="2" t="s">
        <v>179</v>
      </c>
      <c r="F55" s="2" t="s">
        <v>22</v>
      </c>
    </row>
    <row r="56" spans="1:6" ht="30">
      <c r="A56" s="2" t="s">
        <v>97</v>
      </c>
      <c r="B56" s="2" t="s">
        <v>170</v>
      </c>
      <c r="C56" s="2" t="s">
        <v>180</v>
      </c>
      <c r="D56" s="2" t="s">
        <v>181</v>
      </c>
      <c r="E56" s="2" t="s">
        <v>182</v>
      </c>
      <c r="F56" s="2" t="s">
        <v>22</v>
      </c>
    </row>
    <row r="57" spans="1:6" ht="30">
      <c r="A57" s="2" t="s">
        <v>97</v>
      </c>
      <c r="B57" s="2" t="s">
        <v>170</v>
      </c>
      <c r="C57" s="2" t="s">
        <v>183</v>
      </c>
      <c r="D57" s="2" t="s">
        <v>184</v>
      </c>
      <c r="E57" s="2" t="s">
        <v>182</v>
      </c>
      <c r="F57" s="2" t="s">
        <v>22</v>
      </c>
    </row>
    <row r="58" spans="1:6" ht="30">
      <c r="A58" s="2" t="s">
        <v>97</v>
      </c>
      <c r="B58" s="2" t="s">
        <v>170</v>
      </c>
      <c r="C58" s="2" t="s">
        <v>185</v>
      </c>
      <c r="D58" s="2" t="s">
        <v>186</v>
      </c>
      <c r="E58" s="2" t="s">
        <v>187</v>
      </c>
      <c r="F58" s="2" t="s">
        <v>22</v>
      </c>
    </row>
    <row r="59" spans="1:6" ht="30">
      <c r="A59" s="2" t="s">
        <v>97</v>
      </c>
      <c r="B59" s="2" t="s">
        <v>170</v>
      </c>
      <c r="C59" s="2" t="s">
        <v>188</v>
      </c>
      <c r="D59" s="2" t="s">
        <v>189</v>
      </c>
      <c r="E59" s="2" t="s">
        <v>101</v>
      </c>
      <c r="F59" s="2" t="s">
        <v>22</v>
      </c>
    </row>
    <row r="60" spans="1:6" ht="30">
      <c r="A60" s="2" t="s">
        <v>97</v>
      </c>
      <c r="B60" s="2" t="s">
        <v>170</v>
      </c>
      <c r="C60" s="2" t="s">
        <v>190</v>
      </c>
      <c r="D60" s="2" t="s">
        <v>191</v>
      </c>
      <c r="E60" s="2" t="s">
        <v>192</v>
      </c>
      <c r="F60" s="2" t="s">
        <v>22</v>
      </c>
    </row>
    <row r="61" spans="1:6" ht="30">
      <c r="A61" s="2" t="s">
        <v>97</v>
      </c>
      <c r="B61" s="2" t="s">
        <v>170</v>
      </c>
      <c r="C61" s="2" t="s">
        <v>193</v>
      </c>
      <c r="D61" s="2" t="s">
        <v>194</v>
      </c>
      <c r="E61" s="2" t="s">
        <v>195</v>
      </c>
      <c r="F61" s="2" t="s">
        <v>22</v>
      </c>
    </row>
    <row r="62" spans="1:6" ht="30">
      <c r="A62" s="2" t="s">
        <v>97</v>
      </c>
      <c r="B62" s="2" t="s">
        <v>170</v>
      </c>
      <c r="C62" s="2" t="s">
        <v>196</v>
      </c>
      <c r="D62" s="2" t="s">
        <v>197</v>
      </c>
      <c r="E62" s="2" t="s">
        <v>198</v>
      </c>
      <c r="F62" s="2" t="s">
        <v>27</v>
      </c>
    </row>
    <row r="63" spans="1:6" ht="30">
      <c r="A63" s="2" t="s">
        <v>97</v>
      </c>
      <c r="B63" s="2" t="s">
        <v>199</v>
      </c>
      <c r="C63" s="2" t="s">
        <v>200</v>
      </c>
      <c r="D63" s="2" t="s">
        <v>201</v>
      </c>
      <c r="E63" s="2" t="s">
        <v>202</v>
      </c>
      <c r="F63" s="2" t="s">
        <v>22</v>
      </c>
    </row>
    <row r="64" spans="1:6" ht="30">
      <c r="A64" s="2" t="s">
        <v>97</v>
      </c>
      <c r="B64" s="2" t="s">
        <v>199</v>
      </c>
      <c r="C64" s="2" t="s">
        <v>203</v>
      </c>
      <c r="D64" s="2" t="s">
        <v>204</v>
      </c>
      <c r="E64" s="2" t="s">
        <v>205</v>
      </c>
      <c r="F64" s="2" t="s">
        <v>22</v>
      </c>
    </row>
    <row r="65" spans="1:6" ht="30">
      <c r="A65" s="2" t="s">
        <v>97</v>
      </c>
      <c r="B65" s="2" t="s">
        <v>199</v>
      </c>
      <c r="C65" s="2" t="s">
        <v>206</v>
      </c>
      <c r="D65" s="2" t="s">
        <v>207</v>
      </c>
      <c r="E65" s="2" t="s">
        <v>208</v>
      </c>
      <c r="F65" s="2" t="s">
        <v>22</v>
      </c>
    </row>
    <row r="66" spans="1:6" ht="30">
      <c r="A66" s="2" t="s">
        <v>97</v>
      </c>
      <c r="B66" s="2" t="s">
        <v>199</v>
      </c>
      <c r="C66" s="2" t="s">
        <v>209</v>
      </c>
      <c r="D66" s="2" t="s">
        <v>210</v>
      </c>
      <c r="E66" s="2" t="s">
        <v>208</v>
      </c>
      <c r="F66" s="2" t="s">
        <v>22</v>
      </c>
    </row>
    <row r="67" spans="1:6" ht="30">
      <c r="A67" s="2" t="s">
        <v>97</v>
      </c>
      <c r="B67" s="2" t="s">
        <v>199</v>
      </c>
      <c r="C67" s="2" t="s">
        <v>211</v>
      </c>
      <c r="D67" s="2" t="s">
        <v>212</v>
      </c>
      <c r="E67" s="2" t="s">
        <v>213</v>
      </c>
      <c r="F67" s="2" t="s">
        <v>22</v>
      </c>
    </row>
    <row r="68" spans="1:6" ht="30">
      <c r="A68" s="2" t="s">
        <v>97</v>
      </c>
      <c r="B68" s="2" t="s">
        <v>199</v>
      </c>
      <c r="C68" s="2" t="s">
        <v>214</v>
      </c>
      <c r="D68" s="2" t="s">
        <v>215</v>
      </c>
      <c r="E68" s="2" t="s">
        <v>101</v>
      </c>
      <c r="F68" s="2" t="s">
        <v>22</v>
      </c>
    </row>
    <row r="69" spans="1:6" ht="30">
      <c r="A69" s="2" t="s">
        <v>97</v>
      </c>
      <c r="B69" s="2" t="s">
        <v>199</v>
      </c>
      <c r="C69" s="2" t="s">
        <v>216</v>
      </c>
      <c r="D69" s="2" t="s">
        <v>217</v>
      </c>
      <c r="E69" s="2" t="s">
        <v>166</v>
      </c>
      <c r="F69" s="2" t="s">
        <v>22</v>
      </c>
    </row>
    <row r="70" spans="1:6" ht="45">
      <c r="A70" s="2" t="s">
        <v>97</v>
      </c>
      <c r="B70" s="2" t="s">
        <v>199</v>
      </c>
      <c r="C70" s="2" t="s">
        <v>218</v>
      </c>
      <c r="D70" s="2" t="s">
        <v>219</v>
      </c>
      <c r="E70" s="2" t="s">
        <v>220</v>
      </c>
      <c r="F70" s="2" t="s">
        <v>22</v>
      </c>
    </row>
  </sheetData>
  <mergeCells count="1">
    <mergeCell ref="A1:F1"/>
  </mergeCells>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dimension ref="A1:A5"/>
  <sheetViews>
    <sheetView workbookViewId="0">
      <selection activeCell="I22" sqref="I22"/>
    </sheetView>
  </sheetViews>
  <sheetFormatPr defaultRowHeight="15"/>
  <cols>
    <col min="1" max="1" width="40.42578125" customWidth="1"/>
  </cols>
  <sheetData>
    <row r="1" spans="1:1">
      <c r="A1" s="12" t="s">
        <v>298</v>
      </c>
    </row>
    <row r="2" spans="1:1">
      <c r="A2" t="s">
        <v>295</v>
      </c>
    </row>
    <row r="3" spans="1:1">
      <c r="A3" t="s">
        <v>299</v>
      </c>
    </row>
    <row r="4" spans="1:1">
      <c r="A4" t="s">
        <v>297</v>
      </c>
    </row>
    <row r="5" spans="1:1">
      <c r="A5" t="s">
        <v>296</v>
      </c>
    </row>
  </sheetData>
  <pageMargins left="0.511811024" right="0.511811024" top="0.78740157499999996" bottom="0.78740157499999996" header="0.31496062000000002" footer="0.31496062000000002"/>
  <pageSetup paperSize="9" orientation="portrait" verticalDpi="0" r:id="rId1"/>
</worksheet>
</file>

<file path=xl/worksheets/sheet8.xml><?xml version="1.0" encoding="utf-8"?>
<worksheet xmlns="http://schemas.openxmlformats.org/spreadsheetml/2006/main" xmlns:r="http://schemas.openxmlformats.org/officeDocument/2006/relationships">
  <dimension ref="A1:C18"/>
  <sheetViews>
    <sheetView topLeftCell="A10" workbookViewId="0">
      <selection activeCell="B14" sqref="B14"/>
    </sheetView>
  </sheetViews>
  <sheetFormatPr defaultRowHeight="15"/>
  <cols>
    <col min="1" max="1" width="41.85546875" customWidth="1"/>
    <col min="2" max="2" width="42.140625" customWidth="1"/>
    <col min="3" max="3" width="104.5703125" customWidth="1"/>
  </cols>
  <sheetData>
    <row r="1" spans="1:3" s="26" customFormat="1" ht="18.75">
      <c r="A1" s="28" t="s">
        <v>8</v>
      </c>
      <c r="B1" s="26" t="s">
        <v>4</v>
      </c>
      <c r="C1" s="26" t="s">
        <v>6</v>
      </c>
    </row>
    <row r="2" spans="1:3" s="26" customFormat="1" ht="18.75">
      <c r="A2" s="28" t="s">
        <v>739</v>
      </c>
      <c r="B2" s="26" t="s">
        <v>720</v>
      </c>
      <c r="C2" s="26" t="s">
        <v>721</v>
      </c>
    </row>
    <row r="3" spans="1:3" s="26" customFormat="1" ht="18.75">
      <c r="A3" s="28" t="s">
        <v>740</v>
      </c>
      <c r="B3" s="26" t="s">
        <v>722</v>
      </c>
      <c r="C3" s="26" t="s">
        <v>741</v>
      </c>
    </row>
    <row r="4" spans="1:3" s="26" customFormat="1" ht="18.75">
      <c r="A4" s="28" t="s">
        <v>742</v>
      </c>
      <c r="B4" s="26" t="s">
        <v>723</v>
      </c>
      <c r="C4" s="26" t="s">
        <v>743</v>
      </c>
    </row>
    <row r="5" spans="1:3" s="26" customFormat="1" ht="18.75">
      <c r="A5" s="28" t="s">
        <v>744</v>
      </c>
      <c r="B5" s="26" t="s">
        <v>98</v>
      </c>
      <c r="C5" s="26" t="s">
        <v>724</v>
      </c>
    </row>
    <row r="6" spans="1:3" s="26" customFormat="1" ht="18.75">
      <c r="A6" s="28" t="s">
        <v>745</v>
      </c>
      <c r="B6" s="26" t="s">
        <v>725</v>
      </c>
      <c r="C6" s="26" t="s">
        <v>726</v>
      </c>
    </row>
    <row r="7" spans="1:3" s="26" customFormat="1" ht="18.75">
      <c r="A7" s="28" t="s">
        <v>746</v>
      </c>
      <c r="B7" s="26" t="s">
        <v>727</v>
      </c>
      <c r="C7" s="26" t="s">
        <v>728</v>
      </c>
    </row>
    <row r="8" spans="1:3" s="26" customFormat="1" ht="18.75">
      <c r="A8" s="28" t="s">
        <v>747</v>
      </c>
      <c r="B8" s="26" t="s">
        <v>729</v>
      </c>
      <c r="C8" s="26" t="s">
        <v>730</v>
      </c>
    </row>
    <row r="9" spans="1:3" s="26" customFormat="1" ht="18.75">
      <c r="A9" s="28" t="s">
        <v>748</v>
      </c>
      <c r="B9" s="26" t="s">
        <v>731</v>
      </c>
      <c r="C9" s="26" t="s">
        <v>732</v>
      </c>
    </row>
    <row r="10" spans="1:3" s="26" customFormat="1" ht="18.75"/>
    <row r="11" spans="1:3" s="26" customFormat="1" ht="18.75">
      <c r="A11" s="29" t="s">
        <v>755</v>
      </c>
    </row>
    <row r="12" spans="1:3" s="26" customFormat="1" ht="18.75">
      <c r="A12" s="29" t="s">
        <v>733</v>
      </c>
      <c r="B12" s="26" t="s">
        <v>749</v>
      </c>
    </row>
    <row r="13" spans="1:3" s="26" customFormat="1" ht="18.75">
      <c r="A13" s="29" t="s">
        <v>734</v>
      </c>
      <c r="B13" s="26" t="s">
        <v>750</v>
      </c>
    </row>
    <row r="14" spans="1:3" s="26" customFormat="1" ht="18.75">
      <c r="A14" s="29" t="s">
        <v>735</v>
      </c>
      <c r="B14" s="26" t="s">
        <v>751</v>
      </c>
    </row>
    <row r="15" spans="1:3" s="26" customFormat="1" ht="18.75">
      <c r="A15" s="29" t="s">
        <v>736</v>
      </c>
      <c r="B15" s="26" t="s">
        <v>752</v>
      </c>
    </row>
    <row r="16" spans="1:3" s="26" customFormat="1" ht="18.75">
      <c r="A16" s="29" t="s">
        <v>737</v>
      </c>
      <c r="B16" s="26" t="s">
        <v>753</v>
      </c>
    </row>
    <row r="17" spans="1:2" s="26" customFormat="1" ht="18.75">
      <c r="A17" s="29" t="s">
        <v>738</v>
      </c>
      <c r="B17" s="26" t="s">
        <v>754</v>
      </c>
    </row>
    <row r="18" spans="1:2" s="26" customFormat="1" ht="18.75"/>
  </sheetData>
  <pageMargins left="0.511811024" right="0.511811024" top="0.78740157499999996" bottom="0.78740157499999996" header="0.31496062000000002" footer="0.31496062000000002"/>
  <pageSetup paperSize="9" orientation="portrait" verticalDpi="0" r:id="rId1"/>
  <drawing r:id="rId2"/>
</worksheet>
</file>

<file path=xl/worksheets/sheet9.xml><?xml version="1.0" encoding="utf-8"?>
<worksheet xmlns="http://schemas.openxmlformats.org/spreadsheetml/2006/main" xmlns:r="http://schemas.openxmlformats.org/officeDocument/2006/relationships">
  <dimension ref="A1:O71"/>
  <sheetViews>
    <sheetView showGridLines="0" workbookViewId="0">
      <pane ySplit="4" topLeftCell="A5" activePane="bottomLeft" state="frozen"/>
      <selection pane="bottomLeft" activeCell="C24" sqref="C24:E28"/>
    </sheetView>
  </sheetViews>
  <sheetFormatPr defaultRowHeight="15"/>
  <cols>
    <col min="1" max="1" width="7" customWidth="1"/>
    <col min="2" max="2" width="23" customWidth="1"/>
    <col min="3" max="3" width="30" customWidth="1"/>
    <col min="4" max="4" width="31" customWidth="1"/>
    <col min="5" max="5" width="56" customWidth="1"/>
    <col min="6" max="6" width="31" customWidth="1"/>
    <col min="7" max="7" width="12" customWidth="1"/>
    <col min="8" max="8" width="15" customWidth="1"/>
    <col min="9" max="12" width="12" customWidth="1"/>
    <col min="13" max="13" width="14" customWidth="1"/>
    <col min="14" max="15" width="10" customWidth="1"/>
  </cols>
  <sheetData>
    <row r="1" spans="1:15" ht="27.95" customHeight="1">
      <c r="A1" s="23" t="s">
        <v>0</v>
      </c>
      <c r="B1" s="22"/>
      <c r="C1" s="22"/>
      <c r="D1" s="22"/>
      <c r="E1" s="22"/>
      <c r="F1" s="22"/>
      <c r="G1" s="22"/>
      <c r="H1" s="22"/>
      <c r="I1" s="22"/>
      <c r="J1" s="22"/>
      <c r="K1" s="22"/>
      <c r="L1" s="22"/>
      <c r="M1" s="22"/>
      <c r="N1" s="22"/>
    </row>
    <row r="2" spans="1:15">
      <c r="A2" s="21" t="s">
        <v>1</v>
      </c>
      <c r="B2" s="22"/>
      <c r="C2" s="22"/>
      <c r="D2" s="22"/>
      <c r="E2" s="22"/>
      <c r="F2" s="22"/>
      <c r="G2" s="22"/>
      <c r="H2" s="22"/>
      <c r="I2" s="22"/>
      <c r="J2" s="22"/>
      <c r="K2" s="22"/>
      <c r="L2" s="22"/>
      <c r="M2" s="22"/>
      <c r="N2" s="22"/>
    </row>
    <row r="4" spans="1:15" ht="30">
      <c r="A4" s="1" t="s">
        <v>2</v>
      </c>
      <c r="B4" s="1" t="s">
        <v>3</v>
      </c>
      <c r="C4" s="1" t="s">
        <v>4</v>
      </c>
      <c r="D4" s="1" t="s">
        <v>5</v>
      </c>
      <c r="E4" s="1" t="s">
        <v>6</v>
      </c>
      <c r="F4" s="1" t="s">
        <v>7</v>
      </c>
      <c r="G4" s="1" t="s">
        <v>8</v>
      </c>
      <c r="H4" s="1" t="s">
        <v>9</v>
      </c>
      <c r="I4" s="1" t="s">
        <v>10</v>
      </c>
      <c r="J4" s="1" t="s">
        <v>11</v>
      </c>
      <c r="K4" s="1" t="s">
        <v>12</v>
      </c>
      <c r="L4" s="1" t="s">
        <v>13</v>
      </c>
      <c r="M4" s="1" t="s">
        <v>14</v>
      </c>
      <c r="N4" s="1" t="s">
        <v>15</v>
      </c>
      <c r="O4" s="1" t="s">
        <v>16</v>
      </c>
    </row>
    <row r="5" spans="1:15" ht="30">
      <c r="A5" s="2">
        <v>1</v>
      </c>
      <c r="B5" s="2" t="s">
        <v>17</v>
      </c>
      <c r="C5" s="2" t="s">
        <v>18</v>
      </c>
      <c r="D5" s="2" t="s">
        <v>19</v>
      </c>
      <c r="E5" s="2" t="s">
        <v>20</v>
      </c>
      <c r="F5" s="2" t="s">
        <v>21</v>
      </c>
      <c r="G5" s="2" t="s">
        <v>22</v>
      </c>
      <c r="H5" s="2" t="s">
        <v>23</v>
      </c>
      <c r="I5" s="3">
        <v>0</v>
      </c>
      <c r="J5" s="3">
        <v>0</v>
      </c>
      <c r="K5" s="3">
        <v>0</v>
      </c>
      <c r="L5" s="3">
        <f t="shared" ref="L5:L36" si="0">SUM(I5:K5)</f>
        <v>0</v>
      </c>
      <c r="M5" s="2">
        <v>0</v>
      </c>
      <c r="N5" s="2">
        <v>0</v>
      </c>
      <c r="O5" s="4">
        <f t="shared" ref="O5:O36" si="1">IFERROR(N5/M5,0)</f>
        <v>0</v>
      </c>
    </row>
    <row r="6" spans="1:15" ht="30">
      <c r="A6" s="2">
        <v>2</v>
      </c>
      <c r="B6" s="2" t="s">
        <v>17</v>
      </c>
      <c r="C6" s="2" t="s">
        <v>18</v>
      </c>
      <c r="D6" s="2" t="s">
        <v>24</v>
      </c>
      <c r="E6" s="2" t="s">
        <v>25</v>
      </c>
      <c r="F6" s="2" t="s">
        <v>26</v>
      </c>
      <c r="G6" s="2" t="s">
        <v>27</v>
      </c>
      <c r="H6" s="2" t="s">
        <v>23</v>
      </c>
      <c r="I6" s="3">
        <v>0</v>
      </c>
      <c r="J6" s="3">
        <v>0</v>
      </c>
      <c r="K6" s="3">
        <v>0</v>
      </c>
      <c r="L6" s="3">
        <f t="shared" si="0"/>
        <v>0</v>
      </c>
      <c r="M6" s="2">
        <v>0</v>
      </c>
      <c r="N6" s="2">
        <v>0</v>
      </c>
      <c r="O6" s="4">
        <f t="shared" si="1"/>
        <v>0</v>
      </c>
    </row>
    <row r="7" spans="1:15" ht="30">
      <c r="A7" s="2">
        <v>3</v>
      </c>
      <c r="B7" s="2" t="s">
        <v>17</v>
      </c>
      <c r="C7" s="2" t="s">
        <v>18</v>
      </c>
      <c r="D7" s="2" t="s">
        <v>28</v>
      </c>
      <c r="E7" s="2" t="s">
        <v>29</v>
      </c>
      <c r="F7" s="2" t="s">
        <v>30</v>
      </c>
      <c r="G7" s="2" t="s">
        <v>27</v>
      </c>
      <c r="H7" s="2" t="s">
        <v>23</v>
      </c>
      <c r="I7" s="3">
        <v>0</v>
      </c>
      <c r="J7" s="3">
        <v>0</v>
      </c>
      <c r="K7" s="3">
        <v>0</v>
      </c>
      <c r="L7" s="3">
        <f t="shared" si="0"/>
        <v>0</v>
      </c>
      <c r="M7" s="2">
        <v>0</v>
      </c>
      <c r="N7" s="2">
        <v>0</v>
      </c>
      <c r="O7" s="4">
        <f t="shared" si="1"/>
        <v>0</v>
      </c>
    </row>
    <row r="8" spans="1:15" ht="30">
      <c r="A8" s="2">
        <v>4</v>
      </c>
      <c r="B8" s="2" t="s">
        <v>17</v>
      </c>
      <c r="C8" s="2" t="s">
        <v>18</v>
      </c>
      <c r="D8" s="2" t="s">
        <v>31</v>
      </c>
      <c r="E8" s="2" t="s">
        <v>32</v>
      </c>
      <c r="F8" s="2" t="s">
        <v>33</v>
      </c>
      <c r="G8" s="2" t="s">
        <v>27</v>
      </c>
      <c r="H8" s="2" t="s">
        <v>23</v>
      </c>
      <c r="I8" s="3">
        <v>0</v>
      </c>
      <c r="J8" s="3">
        <v>0</v>
      </c>
      <c r="K8" s="3">
        <v>0</v>
      </c>
      <c r="L8" s="3">
        <f t="shared" si="0"/>
        <v>0</v>
      </c>
      <c r="M8" s="2">
        <v>0</v>
      </c>
      <c r="N8" s="2">
        <v>0</v>
      </c>
      <c r="O8" s="4">
        <f t="shared" si="1"/>
        <v>0</v>
      </c>
    </row>
    <row r="9" spans="1:15" ht="45">
      <c r="A9" s="2">
        <v>5</v>
      </c>
      <c r="B9" s="2" t="s">
        <v>17</v>
      </c>
      <c r="C9" s="2" t="s">
        <v>18</v>
      </c>
      <c r="D9" s="2" t="s">
        <v>34</v>
      </c>
      <c r="E9" s="2" t="s">
        <v>35</v>
      </c>
      <c r="F9" s="2" t="s">
        <v>36</v>
      </c>
      <c r="G9" s="2" t="s">
        <v>22</v>
      </c>
      <c r="H9" s="2" t="s">
        <v>23</v>
      </c>
      <c r="I9" s="3">
        <v>0</v>
      </c>
      <c r="J9" s="3">
        <v>0</v>
      </c>
      <c r="K9" s="3">
        <v>0</v>
      </c>
      <c r="L9" s="3">
        <f t="shared" si="0"/>
        <v>0</v>
      </c>
      <c r="M9" s="2">
        <v>0</v>
      </c>
      <c r="N9" s="2">
        <v>0</v>
      </c>
      <c r="O9" s="4">
        <f t="shared" si="1"/>
        <v>0</v>
      </c>
    </row>
    <row r="10" spans="1:15" ht="30">
      <c r="A10" s="2">
        <v>6</v>
      </c>
      <c r="B10" s="2" t="s">
        <v>17</v>
      </c>
      <c r="C10" s="2" t="s">
        <v>18</v>
      </c>
      <c r="D10" s="2" t="s">
        <v>37</v>
      </c>
      <c r="E10" s="2" t="s">
        <v>38</v>
      </c>
      <c r="F10" s="2" t="s">
        <v>39</v>
      </c>
      <c r="G10" s="2" t="s">
        <v>22</v>
      </c>
      <c r="H10" s="2" t="s">
        <v>23</v>
      </c>
      <c r="I10" s="3">
        <v>0</v>
      </c>
      <c r="J10" s="3">
        <v>0</v>
      </c>
      <c r="K10" s="3">
        <v>0</v>
      </c>
      <c r="L10" s="3">
        <f t="shared" si="0"/>
        <v>0</v>
      </c>
      <c r="M10" s="2">
        <v>0</v>
      </c>
      <c r="N10" s="2">
        <v>0</v>
      </c>
      <c r="O10" s="4">
        <f t="shared" si="1"/>
        <v>0</v>
      </c>
    </row>
    <row r="11" spans="1:15" ht="30">
      <c r="A11" s="2">
        <v>7</v>
      </c>
      <c r="B11" s="2" t="s">
        <v>17</v>
      </c>
      <c r="C11" s="2" t="s">
        <v>18</v>
      </c>
      <c r="D11" s="2" t="s">
        <v>40</v>
      </c>
      <c r="E11" s="2" t="s">
        <v>41</v>
      </c>
      <c r="F11" s="2" t="s">
        <v>42</v>
      </c>
      <c r="G11" s="2" t="s">
        <v>22</v>
      </c>
      <c r="H11" s="2" t="s">
        <v>23</v>
      </c>
      <c r="I11" s="3">
        <v>0</v>
      </c>
      <c r="J11" s="3">
        <v>0</v>
      </c>
      <c r="K11" s="3">
        <v>0</v>
      </c>
      <c r="L11" s="3">
        <f t="shared" si="0"/>
        <v>0</v>
      </c>
      <c r="M11" s="2">
        <v>0</v>
      </c>
      <c r="N11" s="2">
        <v>0</v>
      </c>
      <c r="O11" s="4">
        <f t="shared" si="1"/>
        <v>0</v>
      </c>
    </row>
    <row r="12" spans="1:15" ht="30">
      <c r="A12" s="2">
        <v>8</v>
      </c>
      <c r="B12" s="2" t="s">
        <v>17</v>
      </c>
      <c r="C12" s="2" t="s">
        <v>18</v>
      </c>
      <c r="D12" s="2" t="s">
        <v>43</v>
      </c>
      <c r="E12" s="2" t="s">
        <v>44</v>
      </c>
      <c r="F12" s="2" t="s">
        <v>45</v>
      </c>
      <c r="G12" s="2" t="s">
        <v>22</v>
      </c>
      <c r="H12" s="2" t="s">
        <v>23</v>
      </c>
      <c r="I12" s="3">
        <v>0</v>
      </c>
      <c r="J12" s="3">
        <v>0</v>
      </c>
      <c r="K12" s="3">
        <v>0</v>
      </c>
      <c r="L12" s="3">
        <f t="shared" si="0"/>
        <v>0</v>
      </c>
      <c r="M12" s="2">
        <v>0</v>
      </c>
      <c r="N12" s="2">
        <v>0</v>
      </c>
      <c r="O12" s="4">
        <f t="shared" si="1"/>
        <v>0</v>
      </c>
    </row>
    <row r="13" spans="1:15" ht="30">
      <c r="A13" s="2">
        <v>9</v>
      </c>
      <c r="B13" s="2" t="s">
        <v>17</v>
      </c>
      <c r="C13" s="2" t="s">
        <v>18</v>
      </c>
      <c r="D13" s="2" t="s">
        <v>46</v>
      </c>
      <c r="E13" s="2" t="s">
        <v>47</v>
      </c>
      <c r="F13" s="2" t="s">
        <v>48</v>
      </c>
      <c r="G13" s="2" t="s">
        <v>22</v>
      </c>
      <c r="H13" s="2" t="s">
        <v>23</v>
      </c>
      <c r="I13" s="3">
        <v>0</v>
      </c>
      <c r="J13" s="3">
        <v>0</v>
      </c>
      <c r="K13" s="3">
        <v>0</v>
      </c>
      <c r="L13" s="3">
        <f t="shared" si="0"/>
        <v>0</v>
      </c>
      <c r="M13" s="2">
        <v>0</v>
      </c>
      <c r="N13" s="2">
        <v>0</v>
      </c>
      <c r="O13" s="4">
        <f t="shared" si="1"/>
        <v>0</v>
      </c>
    </row>
    <row r="14" spans="1:15" ht="30">
      <c r="A14" s="2">
        <v>10</v>
      </c>
      <c r="B14" s="2" t="s">
        <v>17</v>
      </c>
      <c r="C14" s="2" t="s">
        <v>18</v>
      </c>
      <c r="D14" s="2" t="s">
        <v>49</v>
      </c>
      <c r="E14" s="2" t="s">
        <v>50</v>
      </c>
      <c r="F14" s="2" t="s">
        <v>51</v>
      </c>
      <c r="G14" s="2" t="s">
        <v>22</v>
      </c>
      <c r="H14" s="2" t="s">
        <v>23</v>
      </c>
      <c r="I14" s="3">
        <v>0</v>
      </c>
      <c r="J14" s="3">
        <v>0</v>
      </c>
      <c r="K14" s="3">
        <v>0</v>
      </c>
      <c r="L14" s="3">
        <f t="shared" si="0"/>
        <v>0</v>
      </c>
      <c r="M14" s="2">
        <v>0</v>
      </c>
      <c r="N14" s="2">
        <v>0</v>
      </c>
      <c r="O14" s="4">
        <f t="shared" si="1"/>
        <v>0</v>
      </c>
    </row>
    <row r="15" spans="1:15" ht="30">
      <c r="A15" s="2">
        <v>11</v>
      </c>
      <c r="B15" s="2" t="s">
        <v>17</v>
      </c>
      <c r="C15" s="2" t="s">
        <v>52</v>
      </c>
      <c r="D15" s="2" t="s">
        <v>53</v>
      </c>
      <c r="E15" s="2" t="s">
        <v>54</v>
      </c>
      <c r="F15" s="2" t="s">
        <v>55</v>
      </c>
      <c r="G15" s="2" t="s">
        <v>22</v>
      </c>
      <c r="H15" s="2" t="s">
        <v>23</v>
      </c>
      <c r="I15" s="3">
        <v>0</v>
      </c>
      <c r="J15" s="3">
        <v>0</v>
      </c>
      <c r="K15" s="3">
        <v>0</v>
      </c>
      <c r="L15" s="3">
        <f t="shared" si="0"/>
        <v>0</v>
      </c>
      <c r="M15" s="2">
        <v>0</v>
      </c>
      <c r="N15" s="2">
        <v>0</v>
      </c>
      <c r="O15" s="4">
        <f t="shared" si="1"/>
        <v>0</v>
      </c>
    </row>
    <row r="16" spans="1:15" ht="30">
      <c r="A16" s="2">
        <v>12</v>
      </c>
      <c r="B16" s="2" t="s">
        <v>17</v>
      </c>
      <c r="C16" s="2" t="s">
        <v>52</v>
      </c>
      <c r="D16" s="2" t="s">
        <v>56</v>
      </c>
      <c r="E16" s="2" t="s">
        <v>57</v>
      </c>
      <c r="F16" s="2" t="s">
        <v>58</v>
      </c>
      <c r="G16" s="2" t="s">
        <v>22</v>
      </c>
      <c r="H16" s="2" t="s">
        <v>23</v>
      </c>
      <c r="I16" s="3">
        <v>0</v>
      </c>
      <c r="J16" s="3">
        <v>0</v>
      </c>
      <c r="K16" s="3">
        <v>0</v>
      </c>
      <c r="L16" s="3">
        <f t="shared" si="0"/>
        <v>0</v>
      </c>
      <c r="M16" s="2">
        <v>0</v>
      </c>
      <c r="N16" s="2">
        <v>0</v>
      </c>
      <c r="O16" s="4">
        <f t="shared" si="1"/>
        <v>0</v>
      </c>
    </row>
    <row r="17" spans="1:15" ht="30">
      <c r="A17" s="2">
        <v>13</v>
      </c>
      <c r="B17" s="2" t="s">
        <v>17</v>
      </c>
      <c r="C17" s="2" t="s">
        <v>52</v>
      </c>
      <c r="D17" s="2" t="s">
        <v>59</v>
      </c>
      <c r="E17" s="2" t="s">
        <v>60</v>
      </c>
      <c r="F17" s="2" t="s">
        <v>61</v>
      </c>
      <c r="G17" s="2" t="s">
        <v>27</v>
      </c>
      <c r="H17" s="2" t="s">
        <v>23</v>
      </c>
      <c r="I17" s="3">
        <v>0</v>
      </c>
      <c r="J17" s="3">
        <v>0</v>
      </c>
      <c r="K17" s="3">
        <v>0</v>
      </c>
      <c r="L17" s="3">
        <f t="shared" si="0"/>
        <v>0</v>
      </c>
      <c r="M17" s="2">
        <v>0</v>
      </c>
      <c r="N17" s="2">
        <v>0</v>
      </c>
      <c r="O17" s="4">
        <f t="shared" si="1"/>
        <v>0</v>
      </c>
    </row>
    <row r="18" spans="1:15" ht="30">
      <c r="A18" s="2">
        <v>14</v>
      </c>
      <c r="B18" s="2" t="s">
        <v>17</v>
      </c>
      <c r="C18" s="2" t="s">
        <v>52</v>
      </c>
      <c r="D18" s="2" t="s">
        <v>62</v>
      </c>
      <c r="E18" s="2" t="s">
        <v>63</v>
      </c>
      <c r="F18" s="2" t="s">
        <v>64</v>
      </c>
      <c r="G18" s="2" t="s">
        <v>22</v>
      </c>
      <c r="H18" s="2" t="s">
        <v>23</v>
      </c>
      <c r="I18" s="3">
        <v>0</v>
      </c>
      <c r="J18" s="3">
        <v>0</v>
      </c>
      <c r="K18" s="3">
        <v>0</v>
      </c>
      <c r="L18" s="3">
        <f t="shared" si="0"/>
        <v>0</v>
      </c>
      <c r="M18" s="2">
        <v>0</v>
      </c>
      <c r="N18" s="2">
        <v>0</v>
      </c>
      <c r="O18" s="4">
        <f t="shared" si="1"/>
        <v>0</v>
      </c>
    </row>
    <row r="19" spans="1:15" ht="45">
      <c r="A19" s="2">
        <v>15</v>
      </c>
      <c r="B19" s="2" t="s">
        <v>17</v>
      </c>
      <c r="C19" s="2" t="s">
        <v>52</v>
      </c>
      <c r="D19" s="2" t="s">
        <v>65</v>
      </c>
      <c r="E19" s="2" t="s">
        <v>66</v>
      </c>
      <c r="F19" s="2" t="s">
        <v>67</v>
      </c>
      <c r="G19" s="2" t="s">
        <v>22</v>
      </c>
      <c r="H19" s="2" t="s">
        <v>23</v>
      </c>
      <c r="I19" s="3">
        <v>0</v>
      </c>
      <c r="J19" s="3">
        <v>0</v>
      </c>
      <c r="K19" s="3">
        <v>0</v>
      </c>
      <c r="L19" s="3">
        <f t="shared" si="0"/>
        <v>0</v>
      </c>
      <c r="M19" s="2">
        <v>0</v>
      </c>
      <c r="N19" s="2">
        <v>0</v>
      </c>
      <c r="O19" s="4">
        <f t="shared" si="1"/>
        <v>0</v>
      </c>
    </row>
    <row r="20" spans="1:15" ht="45">
      <c r="A20" s="2">
        <v>16</v>
      </c>
      <c r="B20" s="2" t="s">
        <v>17</v>
      </c>
      <c r="C20" s="2" t="s">
        <v>68</v>
      </c>
      <c r="D20" s="2" t="s">
        <v>69</v>
      </c>
      <c r="E20" s="2" t="s">
        <v>70</v>
      </c>
      <c r="F20" s="2" t="s">
        <v>71</v>
      </c>
      <c r="G20" s="2" t="s">
        <v>22</v>
      </c>
      <c r="H20" s="2" t="s">
        <v>23</v>
      </c>
      <c r="I20" s="3">
        <v>0</v>
      </c>
      <c r="J20" s="3">
        <v>0</v>
      </c>
      <c r="K20" s="3">
        <v>0</v>
      </c>
      <c r="L20" s="3">
        <f t="shared" si="0"/>
        <v>0</v>
      </c>
      <c r="M20" s="2">
        <v>0</v>
      </c>
      <c r="N20" s="2">
        <v>0</v>
      </c>
      <c r="O20" s="4">
        <f t="shared" si="1"/>
        <v>0</v>
      </c>
    </row>
    <row r="21" spans="1:15" ht="30">
      <c r="A21" s="2">
        <v>17</v>
      </c>
      <c r="B21" s="2" t="s">
        <v>17</v>
      </c>
      <c r="C21" s="2" t="s">
        <v>68</v>
      </c>
      <c r="D21" s="2" t="s">
        <v>72</v>
      </c>
      <c r="E21" s="2" t="s">
        <v>73</v>
      </c>
      <c r="F21" s="2" t="s">
        <v>74</v>
      </c>
      <c r="G21" s="2" t="s">
        <v>22</v>
      </c>
      <c r="H21" s="2" t="s">
        <v>23</v>
      </c>
      <c r="I21" s="3">
        <v>0</v>
      </c>
      <c r="J21" s="3">
        <v>0</v>
      </c>
      <c r="K21" s="3">
        <v>0</v>
      </c>
      <c r="L21" s="3">
        <f t="shared" si="0"/>
        <v>0</v>
      </c>
      <c r="M21" s="2">
        <v>0</v>
      </c>
      <c r="N21" s="2">
        <v>0</v>
      </c>
      <c r="O21" s="4">
        <f t="shared" si="1"/>
        <v>0</v>
      </c>
    </row>
    <row r="22" spans="1:15" ht="30">
      <c r="A22" s="2">
        <v>18</v>
      </c>
      <c r="B22" s="2" t="s">
        <v>17</v>
      </c>
      <c r="C22" s="2" t="s">
        <v>68</v>
      </c>
      <c r="D22" s="2" t="s">
        <v>75</v>
      </c>
      <c r="E22" s="2" t="s">
        <v>76</v>
      </c>
      <c r="F22" s="2" t="s">
        <v>77</v>
      </c>
      <c r="G22" s="2" t="s">
        <v>22</v>
      </c>
      <c r="H22" s="2" t="s">
        <v>23</v>
      </c>
      <c r="I22" s="3">
        <v>0</v>
      </c>
      <c r="J22" s="3">
        <v>0</v>
      </c>
      <c r="K22" s="3">
        <v>0</v>
      </c>
      <c r="L22" s="3">
        <f t="shared" si="0"/>
        <v>0</v>
      </c>
      <c r="M22" s="2">
        <v>0</v>
      </c>
      <c r="N22" s="2">
        <v>0</v>
      </c>
      <c r="O22" s="4">
        <f t="shared" si="1"/>
        <v>0</v>
      </c>
    </row>
    <row r="23" spans="1:15" ht="45">
      <c r="A23" s="2">
        <v>19</v>
      </c>
      <c r="B23" s="2" t="s">
        <v>17</v>
      </c>
      <c r="C23" s="2" t="s">
        <v>68</v>
      </c>
      <c r="D23" s="2" t="s">
        <v>78</v>
      </c>
      <c r="E23" s="2" t="s">
        <v>79</v>
      </c>
      <c r="F23" s="2" t="s">
        <v>80</v>
      </c>
      <c r="G23" s="2" t="s">
        <v>22</v>
      </c>
      <c r="H23" s="2" t="s">
        <v>23</v>
      </c>
      <c r="I23" s="3">
        <v>0</v>
      </c>
      <c r="J23" s="3">
        <v>0</v>
      </c>
      <c r="K23" s="3">
        <v>0</v>
      </c>
      <c r="L23" s="3">
        <f t="shared" si="0"/>
        <v>0</v>
      </c>
      <c r="M23" s="2">
        <v>0</v>
      </c>
      <c r="N23" s="2">
        <v>0</v>
      </c>
      <c r="O23" s="4">
        <f t="shared" si="1"/>
        <v>0</v>
      </c>
    </row>
    <row r="24" spans="1:15" ht="45">
      <c r="A24" s="2">
        <v>20</v>
      </c>
      <c r="B24" s="2" t="s">
        <v>17</v>
      </c>
      <c r="C24" s="2" t="s">
        <v>81</v>
      </c>
      <c r="D24" s="2" t="s">
        <v>82</v>
      </c>
      <c r="E24" s="2" t="s">
        <v>83</v>
      </c>
      <c r="F24" s="2" t="s">
        <v>84</v>
      </c>
      <c r="G24" s="2" t="s">
        <v>27</v>
      </c>
      <c r="H24" s="2" t="s">
        <v>23</v>
      </c>
      <c r="I24" s="3">
        <v>0</v>
      </c>
      <c r="J24" s="3">
        <v>0</v>
      </c>
      <c r="K24" s="3">
        <v>0</v>
      </c>
      <c r="L24" s="3">
        <f t="shared" si="0"/>
        <v>0</v>
      </c>
      <c r="M24" s="2">
        <v>0</v>
      </c>
      <c r="N24" s="2">
        <v>0</v>
      </c>
      <c r="O24" s="4">
        <f t="shared" si="1"/>
        <v>0</v>
      </c>
    </row>
    <row r="25" spans="1:15" ht="45">
      <c r="A25" s="2">
        <v>21</v>
      </c>
      <c r="B25" s="2" t="s">
        <v>17</v>
      </c>
      <c r="C25" s="2" t="s">
        <v>81</v>
      </c>
      <c r="D25" s="2" t="s">
        <v>85</v>
      </c>
      <c r="E25" s="2" t="s">
        <v>86</v>
      </c>
      <c r="F25" s="2" t="s">
        <v>87</v>
      </c>
      <c r="G25" s="2" t="s">
        <v>22</v>
      </c>
      <c r="H25" s="2" t="s">
        <v>23</v>
      </c>
      <c r="I25" s="3">
        <v>0</v>
      </c>
      <c r="J25" s="3">
        <v>0</v>
      </c>
      <c r="K25" s="3">
        <v>0</v>
      </c>
      <c r="L25" s="3">
        <f t="shared" si="0"/>
        <v>0</v>
      </c>
      <c r="M25" s="2">
        <v>0</v>
      </c>
      <c r="N25" s="2">
        <v>0</v>
      </c>
      <c r="O25" s="4">
        <f t="shared" si="1"/>
        <v>0</v>
      </c>
    </row>
    <row r="26" spans="1:15" ht="45">
      <c r="A26" s="2">
        <v>22</v>
      </c>
      <c r="B26" s="2" t="s">
        <v>17</v>
      </c>
      <c r="C26" s="2" t="s">
        <v>81</v>
      </c>
      <c r="D26" s="2" t="s">
        <v>88</v>
      </c>
      <c r="E26" s="2" t="s">
        <v>89</v>
      </c>
      <c r="F26" s="2" t="s">
        <v>90</v>
      </c>
      <c r="G26" s="2" t="s">
        <v>22</v>
      </c>
      <c r="H26" s="2" t="s">
        <v>23</v>
      </c>
      <c r="I26" s="3">
        <v>0</v>
      </c>
      <c r="J26" s="3">
        <v>0</v>
      </c>
      <c r="K26" s="3">
        <v>0</v>
      </c>
      <c r="L26" s="3">
        <f t="shared" si="0"/>
        <v>0</v>
      </c>
      <c r="M26" s="2">
        <v>0</v>
      </c>
      <c r="N26" s="2">
        <v>0</v>
      </c>
      <c r="O26" s="4">
        <f t="shared" si="1"/>
        <v>0</v>
      </c>
    </row>
    <row r="27" spans="1:15" ht="30">
      <c r="A27" s="2">
        <v>23</v>
      </c>
      <c r="B27" s="2" t="s">
        <v>17</v>
      </c>
      <c r="C27" s="2" t="s">
        <v>81</v>
      </c>
      <c r="D27" s="2" t="s">
        <v>91</v>
      </c>
      <c r="E27" s="2" t="s">
        <v>92</v>
      </c>
      <c r="F27" s="2" t="s">
        <v>93</v>
      </c>
      <c r="G27" s="2" t="s">
        <v>22</v>
      </c>
      <c r="H27" s="2" t="s">
        <v>23</v>
      </c>
      <c r="I27" s="3">
        <v>0</v>
      </c>
      <c r="J27" s="3">
        <v>0</v>
      </c>
      <c r="K27" s="3">
        <v>0</v>
      </c>
      <c r="L27" s="3">
        <f t="shared" si="0"/>
        <v>0</v>
      </c>
      <c r="M27" s="2">
        <v>0</v>
      </c>
      <c r="N27" s="2">
        <v>0</v>
      </c>
      <c r="O27" s="4">
        <f t="shared" si="1"/>
        <v>0</v>
      </c>
    </row>
    <row r="28" spans="1:15" ht="45">
      <c r="A28" s="2">
        <v>24</v>
      </c>
      <c r="B28" s="2" t="s">
        <v>17</v>
      </c>
      <c r="C28" s="2" t="s">
        <v>81</v>
      </c>
      <c r="D28" s="2" t="s">
        <v>94</v>
      </c>
      <c r="E28" s="2" t="s">
        <v>95</v>
      </c>
      <c r="F28" s="2" t="s">
        <v>96</v>
      </c>
      <c r="G28" s="2" t="s">
        <v>22</v>
      </c>
      <c r="H28" s="2" t="s">
        <v>23</v>
      </c>
      <c r="I28" s="3">
        <v>0</v>
      </c>
      <c r="J28" s="3">
        <v>0</v>
      </c>
      <c r="K28" s="3">
        <v>0</v>
      </c>
      <c r="L28" s="3">
        <f t="shared" si="0"/>
        <v>0</v>
      </c>
      <c r="M28" s="2">
        <v>0</v>
      </c>
      <c r="N28" s="2">
        <v>0</v>
      </c>
      <c r="O28" s="4">
        <f t="shared" si="1"/>
        <v>0</v>
      </c>
    </row>
    <row r="29" spans="1:15" ht="30">
      <c r="A29" s="2">
        <v>25</v>
      </c>
      <c r="B29" s="2" t="s">
        <v>97</v>
      </c>
      <c r="C29" s="2" t="s">
        <v>98</v>
      </c>
      <c r="D29" s="2" t="s">
        <v>99</v>
      </c>
      <c r="E29" s="2" t="s">
        <v>100</v>
      </c>
      <c r="F29" s="2" t="s">
        <v>101</v>
      </c>
      <c r="G29" s="2" t="s">
        <v>22</v>
      </c>
      <c r="H29" s="2" t="s">
        <v>23</v>
      </c>
      <c r="I29" s="3">
        <v>0</v>
      </c>
      <c r="J29" s="3">
        <v>0</v>
      </c>
      <c r="K29" s="3">
        <v>0</v>
      </c>
      <c r="L29" s="3">
        <f t="shared" si="0"/>
        <v>0</v>
      </c>
      <c r="M29" s="2">
        <v>0</v>
      </c>
      <c r="N29" s="2">
        <v>0</v>
      </c>
      <c r="O29" s="4">
        <f t="shared" si="1"/>
        <v>0</v>
      </c>
    </row>
    <row r="30" spans="1:15" ht="30">
      <c r="A30" s="2">
        <v>26</v>
      </c>
      <c r="B30" s="2" t="s">
        <v>97</v>
      </c>
      <c r="C30" s="2" t="s">
        <v>98</v>
      </c>
      <c r="D30" s="2" t="s">
        <v>102</v>
      </c>
      <c r="E30" s="2" t="s">
        <v>103</v>
      </c>
      <c r="F30" s="2" t="s">
        <v>104</v>
      </c>
      <c r="G30" s="2" t="s">
        <v>22</v>
      </c>
      <c r="H30" s="2" t="s">
        <v>23</v>
      </c>
      <c r="I30" s="3">
        <v>0</v>
      </c>
      <c r="J30" s="3">
        <v>0</v>
      </c>
      <c r="K30" s="3">
        <v>0</v>
      </c>
      <c r="L30" s="3">
        <f t="shared" si="0"/>
        <v>0</v>
      </c>
      <c r="M30" s="2">
        <v>0</v>
      </c>
      <c r="N30" s="2">
        <v>0</v>
      </c>
      <c r="O30" s="4">
        <f t="shared" si="1"/>
        <v>0</v>
      </c>
    </row>
    <row r="31" spans="1:15" ht="30">
      <c r="A31" s="2">
        <v>27</v>
      </c>
      <c r="B31" s="2" t="s">
        <v>97</v>
      </c>
      <c r="C31" s="2" t="s">
        <v>98</v>
      </c>
      <c r="D31" s="2" t="s">
        <v>105</v>
      </c>
      <c r="E31" s="2" t="s">
        <v>106</v>
      </c>
      <c r="F31" s="2" t="s">
        <v>107</v>
      </c>
      <c r="G31" s="2" t="s">
        <v>22</v>
      </c>
      <c r="H31" s="2" t="s">
        <v>23</v>
      </c>
      <c r="I31" s="3">
        <v>0</v>
      </c>
      <c r="J31" s="3">
        <v>0</v>
      </c>
      <c r="K31" s="3">
        <v>0</v>
      </c>
      <c r="L31" s="3">
        <f t="shared" si="0"/>
        <v>0</v>
      </c>
      <c r="M31" s="2">
        <v>0</v>
      </c>
      <c r="N31" s="2">
        <v>0</v>
      </c>
      <c r="O31" s="4">
        <f t="shared" si="1"/>
        <v>0</v>
      </c>
    </row>
    <row r="32" spans="1:15" ht="30">
      <c r="A32" s="2">
        <v>28</v>
      </c>
      <c r="B32" s="2" t="s">
        <v>97</v>
      </c>
      <c r="C32" s="2" t="s">
        <v>98</v>
      </c>
      <c r="D32" s="2" t="s">
        <v>108</v>
      </c>
      <c r="E32" s="2" t="s">
        <v>109</v>
      </c>
      <c r="F32" s="2" t="s">
        <v>110</v>
      </c>
      <c r="G32" s="2" t="s">
        <v>22</v>
      </c>
      <c r="H32" s="2" t="s">
        <v>23</v>
      </c>
      <c r="I32" s="3">
        <v>0</v>
      </c>
      <c r="J32" s="3">
        <v>0</v>
      </c>
      <c r="K32" s="3">
        <v>0</v>
      </c>
      <c r="L32" s="3">
        <f t="shared" si="0"/>
        <v>0</v>
      </c>
      <c r="M32" s="2">
        <v>0</v>
      </c>
      <c r="N32" s="2">
        <v>0</v>
      </c>
      <c r="O32" s="4">
        <f t="shared" si="1"/>
        <v>0</v>
      </c>
    </row>
    <row r="33" spans="1:15" ht="30">
      <c r="A33" s="2">
        <v>29</v>
      </c>
      <c r="B33" s="2" t="s">
        <v>97</v>
      </c>
      <c r="C33" s="2" t="s">
        <v>98</v>
      </c>
      <c r="D33" s="2" t="s">
        <v>111</v>
      </c>
      <c r="E33" s="2" t="s">
        <v>112</v>
      </c>
      <c r="F33" s="2" t="s">
        <v>113</v>
      </c>
      <c r="G33" s="2" t="s">
        <v>22</v>
      </c>
      <c r="H33" s="2" t="s">
        <v>23</v>
      </c>
      <c r="I33" s="3">
        <v>0</v>
      </c>
      <c r="J33" s="3">
        <v>0</v>
      </c>
      <c r="K33" s="3">
        <v>0</v>
      </c>
      <c r="L33" s="3">
        <f t="shared" si="0"/>
        <v>0</v>
      </c>
      <c r="M33" s="2">
        <v>0</v>
      </c>
      <c r="N33" s="2">
        <v>0</v>
      </c>
      <c r="O33" s="4">
        <f t="shared" si="1"/>
        <v>0</v>
      </c>
    </row>
    <row r="34" spans="1:15" ht="30">
      <c r="A34" s="2">
        <v>30</v>
      </c>
      <c r="B34" s="2" t="s">
        <v>97</v>
      </c>
      <c r="C34" s="2" t="s">
        <v>98</v>
      </c>
      <c r="D34" s="2" t="s">
        <v>114</v>
      </c>
      <c r="E34" s="2" t="s">
        <v>115</v>
      </c>
      <c r="F34" s="2" t="s">
        <v>116</v>
      </c>
      <c r="G34" s="2" t="s">
        <v>22</v>
      </c>
      <c r="H34" s="2" t="s">
        <v>23</v>
      </c>
      <c r="I34" s="3">
        <v>0</v>
      </c>
      <c r="J34" s="3">
        <v>0</v>
      </c>
      <c r="K34" s="3">
        <v>0</v>
      </c>
      <c r="L34" s="3">
        <f t="shared" si="0"/>
        <v>0</v>
      </c>
      <c r="M34" s="2">
        <v>0</v>
      </c>
      <c r="N34" s="2">
        <v>0</v>
      </c>
      <c r="O34" s="4">
        <f t="shared" si="1"/>
        <v>0</v>
      </c>
    </row>
    <row r="35" spans="1:15" ht="30">
      <c r="A35" s="2">
        <v>31</v>
      </c>
      <c r="B35" s="2" t="s">
        <v>97</v>
      </c>
      <c r="C35" s="2" t="s">
        <v>98</v>
      </c>
      <c r="D35" s="2" t="s">
        <v>117</v>
      </c>
      <c r="E35" s="2" t="s">
        <v>118</v>
      </c>
      <c r="F35" s="2" t="s">
        <v>113</v>
      </c>
      <c r="G35" s="2" t="s">
        <v>22</v>
      </c>
      <c r="H35" s="2" t="s">
        <v>23</v>
      </c>
      <c r="I35" s="3">
        <v>0</v>
      </c>
      <c r="J35" s="3">
        <v>0</v>
      </c>
      <c r="K35" s="3">
        <v>0</v>
      </c>
      <c r="L35" s="3">
        <f t="shared" si="0"/>
        <v>0</v>
      </c>
      <c r="M35" s="2">
        <v>0</v>
      </c>
      <c r="N35" s="2">
        <v>0</v>
      </c>
      <c r="O35" s="4">
        <f t="shared" si="1"/>
        <v>0</v>
      </c>
    </row>
    <row r="36" spans="1:15" ht="30">
      <c r="A36" s="2">
        <v>32</v>
      </c>
      <c r="B36" s="2" t="s">
        <v>97</v>
      </c>
      <c r="C36" s="2" t="s">
        <v>98</v>
      </c>
      <c r="D36" s="2" t="s">
        <v>119</v>
      </c>
      <c r="E36" s="2" t="s">
        <v>120</v>
      </c>
      <c r="F36" s="2" t="s">
        <v>121</v>
      </c>
      <c r="G36" s="2" t="s">
        <v>22</v>
      </c>
      <c r="H36" s="2" t="s">
        <v>23</v>
      </c>
      <c r="I36" s="3">
        <v>0</v>
      </c>
      <c r="J36" s="3">
        <v>0</v>
      </c>
      <c r="K36" s="3">
        <v>0</v>
      </c>
      <c r="L36" s="3">
        <f t="shared" si="0"/>
        <v>0</v>
      </c>
      <c r="M36" s="2">
        <v>0</v>
      </c>
      <c r="N36" s="2">
        <v>0</v>
      </c>
      <c r="O36" s="4">
        <f t="shared" si="1"/>
        <v>0</v>
      </c>
    </row>
    <row r="37" spans="1:15" ht="30">
      <c r="A37" s="2">
        <v>33</v>
      </c>
      <c r="B37" s="2" t="s">
        <v>97</v>
      </c>
      <c r="C37" s="2" t="s">
        <v>98</v>
      </c>
      <c r="D37" s="2" t="s">
        <v>122</v>
      </c>
      <c r="E37" s="2" t="s">
        <v>123</v>
      </c>
      <c r="F37" s="2" t="s">
        <v>124</v>
      </c>
      <c r="G37" s="2" t="s">
        <v>22</v>
      </c>
      <c r="H37" s="2" t="s">
        <v>23</v>
      </c>
      <c r="I37" s="3">
        <v>0</v>
      </c>
      <c r="J37" s="3">
        <v>0</v>
      </c>
      <c r="K37" s="3">
        <v>0</v>
      </c>
      <c r="L37" s="3">
        <f t="shared" ref="L37:L68" si="2">SUM(I37:K37)</f>
        <v>0</v>
      </c>
      <c r="M37" s="2">
        <v>0</v>
      </c>
      <c r="N37" s="2">
        <v>0</v>
      </c>
      <c r="O37" s="4">
        <f t="shared" ref="O37:O68" si="3">IFERROR(N37/M37,0)</f>
        <v>0</v>
      </c>
    </row>
    <row r="38" spans="1:15" ht="30">
      <c r="A38" s="2">
        <v>34</v>
      </c>
      <c r="B38" s="2" t="s">
        <v>97</v>
      </c>
      <c r="C38" s="2" t="s">
        <v>98</v>
      </c>
      <c r="D38" s="2" t="s">
        <v>125</v>
      </c>
      <c r="E38" s="2" t="s">
        <v>126</v>
      </c>
      <c r="F38" s="2" t="s">
        <v>127</v>
      </c>
      <c r="G38" s="2" t="s">
        <v>22</v>
      </c>
      <c r="H38" s="2" t="s">
        <v>23</v>
      </c>
      <c r="I38" s="3">
        <v>0</v>
      </c>
      <c r="J38" s="3">
        <v>0</v>
      </c>
      <c r="K38" s="3">
        <v>0</v>
      </c>
      <c r="L38" s="3">
        <f t="shared" si="2"/>
        <v>0</v>
      </c>
      <c r="M38" s="2">
        <v>0</v>
      </c>
      <c r="N38" s="2">
        <v>0</v>
      </c>
      <c r="O38" s="4">
        <f t="shared" si="3"/>
        <v>0</v>
      </c>
    </row>
    <row r="39" spans="1:15" ht="30">
      <c r="A39" s="2">
        <v>35</v>
      </c>
      <c r="B39" s="2" t="s">
        <v>97</v>
      </c>
      <c r="C39" s="2" t="s">
        <v>98</v>
      </c>
      <c r="D39" s="2" t="s">
        <v>128</v>
      </c>
      <c r="E39" s="2" t="s">
        <v>129</v>
      </c>
      <c r="F39" s="2" t="s">
        <v>130</v>
      </c>
      <c r="G39" s="2" t="s">
        <v>27</v>
      </c>
      <c r="H39" s="2" t="s">
        <v>23</v>
      </c>
      <c r="I39" s="3">
        <v>0</v>
      </c>
      <c r="J39" s="3">
        <v>0</v>
      </c>
      <c r="K39" s="3">
        <v>0</v>
      </c>
      <c r="L39" s="3">
        <f t="shared" si="2"/>
        <v>0</v>
      </c>
      <c r="M39" s="2">
        <v>0</v>
      </c>
      <c r="N39" s="2">
        <v>0</v>
      </c>
      <c r="O39" s="4">
        <f t="shared" si="3"/>
        <v>0</v>
      </c>
    </row>
    <row r="40" spans="1:15" ht="30">
      <c r="A40" s="2">
        <v>36</v>
      </c>
      <c r="B40" s="2" t="s">
        <v>97</v>
      </c>
      <c r="C40" s="2" t="s">
        <v>98</v>
      </c>
      <c r="D40" s="2" t="s">
        <v>131</v>
      </c>
      <c r="E40" s="2" t="s">
        <v>132</v>
      </c>
      <c r="F40" s="2" t="s">
        <v>133</v>
      </c>
      <c r="G40" s="2" t="s">
        <v>27</v>
      </c>
      <c r="H40" s="2" t="s">
        <v>23</v>
      </c>
      <c r="I40" s="3">
        <v>0</v>
      </c>
      <c r="J40" s="3">
        <v>0</v>
      </c>
      <c r="K40" s="3">
        <v>0</v>
      </c>
      <c r="L40" s="3">
        <f t="shared" si="2"/>
        <v>0</v>
      </c>
      <c r="M40" s="2">
        <v>0</v>
      </c>
      <c r="N40" s="2">
        <v>0</v>
      </c>
      <c r="O40" s="4">
        <f t="shared" si="3"/>
        <v>0</v>
      </c>
    </row>
    <row r="41" spans="1:15" ht="30">
      <c r="A41" s="2">
        <v>37</v>
      </c>
      <c r="B41" s="2" t="s">
        <v>97</v>
      </c>
      <c r="C41" s="2" t="s">
        <v>134</v>
      </c>
      <c r="D41" s="2" t="s">
        <v>135</v>
      </c>
      <c r="E41" s="2" t="s">
        <v>136</v>
      </c>
      <c r="F41" s="2" t="s">
        <v>137</v>
      </c>
      <c r="G41" s="2" t="s">
        <v>22</v>
      </c>
      <c r="H41" s="2" t="s">
        <v>23</v>
      </c>
      <c r="I41" s="3">
        <v>0</v>
      </c>
      <c r="J41" s="3">
        <v>0</v>
      </c>
      <c r="K41" s="3">
        <v>0</v>
      </c>
      <c r="L41" s="3">
        <f t="shared" si="2"/>
        <v>0</v>
      </c>
      <c r="M41" s="2">
        <v>0</v>
      </c>
      <c r="N41" s="2">
        <v>0</v>
      </c>
      <c r="O41" s="4">
        <f t="shared" si="3"/>
        <v>0</v>
      </c>
    </row>
    <row r="42" spans="1:15" ht="30">
      <c r="A42" s="2">
        <v>38</v>
      </c>
      <c r="B42" s="2" t="s">
        <v>97</v>
      </c>
      <c r="C42" s="2" t="s">
        <v>134</v>
      </c>
      <c r="D42" s="2" t="s">
        <v>138</v>
      </c>
      <c r="E42" s="2" t="s">
        <v>139</v>
      </c>
      <c r="F42" s="2" t="s">
        <v>140</v>
      </c>
      <c r="G42" s="2" t="s">
        <v>22</v>
      </c>
      <c r="H42" s="2" t="s">
        <v>23</v>
      </c>
      <c r="I42" s="3">
        <v>0</v>
      </c>
      <c r="J42" s="3">
        <v>0</v>
      </c>
      <c r="K42" s="3">
        <v>0</v>
      </c>
      <c r="L42" s="3">
        <f t="shared" si="2"/>
        <v>0</v>
      </c>
      <c r="M42" s="2">
        <v>0</v>
      </c>
      <c r="N42" s="2">
        <v>0</v>
      </c>
      <c r="O42" s="4">
        <f t="shared" si="3"/>
        <v>0</v>
      </c>
    </row>
    <row r="43" spans="1:15" ht="30">
      <c r="A43" s="2">
        <v>39</v>
      </c>
      <c r="B43" s="2" t="s">
        <v>97</v>
      </c>
      <c r="C43" s="2" t="s">
        <v>134</v>
      </c>
      <c r="D43" s="2" t="s">
        <v>141</v>
      </c>
      <c r="E43" s="2" t="s">
        <v>142</v>
      </c>
      <c r="F43" s="2" t="s">
        <v>143</v>
      </c>
      <c r="G43" s="2" t="s">
        <v>22</v>
      </c>
      <c r="H43" s="2" t="s">
        <v>23</v>
      </c>
      <c r="I43" s="3">
        <v>0</v>
      </c>
      <c r="J43" s="3">
        <v>0</v>
      </c>
      <c r="K43" s="3">
        <v>0</v>
      </c>
      <c r="L43" s="3">
        <f t="shared" si="2"/>
        <v>0</v>
      </c>
      <c r="M43" s="2">
        <v>0</v>
      </c>
      <c r="N43" s="2">
        <v>0</v>
      </c>
      <c r="O43" s="4">
        <f t="shared" si="3"/>
        <v>0</v>
      </c>
    </row>
    <row r="44" spans="1:15" ht="30">
      <c r="A44" s="2">
        <v>40</v>
      </c>
      <c r="B44" s="2" t="s">
        <v>97</v>
      </c>
      <c r="C44" s="2" t="s">
        <v>134</v>
      </c>
      <c r="D44" s="2" t="s">
        <v>144</v>
      </c>
      <c r="E44" s="2" t="s">
        <v>145</v>
      </c>
      <c r="F44" s="2" t="s">
        <v>140</v>
      </c>
      <c r="G44" s="2" t="s">
        <v>27</v>
      </c>
      <c r="H44" s="2" t="s">
        <v>23</v>
      </c>
      <c r="I44" s="3">
        <v>0</v>
      </c>
      <c r="J44" s="3">
        <v>0</v>
      </c>
      <c r="K44" s="3">
        <v>0</v>
      </c>
      <c r="L44" s="3">
        <f t="shared" si="2"/>
        <v>0</v>
      </c>
      <c r="M44" s="2">
        <v>0</v>
      </c>
      <c r="N44" s="2">
        <v>0</v>
      </c>
      <c r="O44" s="4">
        <f t="shared" si="3"/>
        <v>0</v>
      </c>
    </row>
    <row r="45" spans="1:15" ht="30">
      <c r="A45" s="2">
        <v>41</v>
      </c>
      <c r="B45" s="2" t="s">
        <v>97</v>
      </c>
      <c r="C45" s="2" t="s">
        <v>134</v>
      </c>
      <c r="D45" s="2" t="s">
        <v>146</v>
      </c>
      <c r="E45" s="2" t="s">
        <v>147</v>
      </c>
      <c r="F45" s="2" t="s">
        <v>140</v>
      </c>
      <c r="G45" s="2" t="s">
        <v>27</v>
      </c>
      <c r="H45" s="2" t="s">
        <v>23</v>
      </c>
      <c r="I45" s="3">
        <v>0</v>
      </c>
      <c r="J45" s="3">
        <v>0</v>
      </c>
      <c r="K45" s="3">
        <v>0</v>
      </c>
      <c r="L45" s="3">
        <f t="shared" si="2"/>
        <v>0</v>
      </c>
      <c r="M45" s="2">
        <v>0</v>
      </c>
      <c r="N45" s="2">
        <v>0</v>
      </c>
      <c r="O45" s="4">
        <f t="shared" si="3"/>
        <v>0</v>
      </c>
    </row>
    <row r="46" spans="1:15" ht="30">
      <c r="A46" s="2">
        <v>42</v>
      </c>
      <c r="B46" s="2" t="s">
        <v>97</v>
      </c>
      <c r="C46" s="2" t="s">
        <v>134</v>
      </c>
      <c r="D46" s="2" t="s">
        <v>148</v>
      </c>
      <c r="E46" s="2" t="s">
        <v>149</v>
      </c>
      <c r="F46" s="2" t="s">
        <v>140</v>
      </c>
      <c r="G46" s="2" t="s">
        <v>22</v>
      </c>
      <c r="H46" s="2" t="s">
        <v>23</v>
      </c>
      <c r="I46" s="3">
        <v>0</v>
      </c>
      <c r="J46" s="3">
        <v>0</v>
      </c>
      <c r="K46" s="3">
        <v>0</v>
      </c>
      <c r="L46" s="3">
        <f t="shared" si="2"/>
        <v>0</v>
      </c>
      <c r="M46" s="2">
        <v>0</v>
      </c>
      <c r="N46" s="2">
        <v>0</v>
      </c>
      <c r="O46" s="4">
        <f t="shared" si="3"/>
        <v>0</v>
      </c>
    </row>
    <row r="47" spans="1:15" ht="30">
      <c r="A47" s="2">
        <v>43</v>
      </c>
      <c r="B47" s="2" t="s">
        <v>97</v>
      </c>
      <c r="C47" s="2" t="s">
        <v>134</v>
      </c>
      <c r="D47" s="2" t="s">
        <v>150</v>
      </c>
      <c r="E47" s="2" t="s">
        <v>151</v>
      </c>
      <c r="F47" s="2" t="s">
        <v>152</v>
      </c>
      <c r="G47" s="2" t="s">
        <v>27</v>
      </c>
      <c r="H47" s="2" t="s">
        <v>23</v>
      </c>
      <c r="I47" s="3">
        <v>0</v>
      </c>
      <c r="J47" s="3">
        <v>0</v>
      </c>
      <c r="K47" s="3">
        <v>0</v>
      </c>
      <c r="L47" s="3">
        <f t="shared" si="2"/>
        <v>0</v>
      </c>
      <c r="M47" s="2">
        <v>0</v>
      </c>
      <c r="N47" s="2">
        <v>0</v>
      </c>
      <c r="O47" s="4">
        <f t="shared" si="3"/>
        <v>0</v>
      </c>
    </row>
    <row r="48" spans="1:15" ht="30">
      <c r="A48" s="2">
        <v>44</v>
      </c>
      <c r="B48" s="2" t="s">
        <v>97</v>
      </c>
      <c r="C48" s="2" t="s">
        <v>134</v>
      </c>
      <c r="D48" s="2" t="s">
        <v>153</v>
      </c>
      <c r="E48" s="2" t="s">
        <v>154</v>
      </c>
      <c r="F48" s="2" t="s">
        <v>152</v>
      </c>
      <c r="G48" s="2" t="s">
        <v>27</v>
      </c>
      <c r="H48" s="2" t="s">
        <v>23</v>
      </c>
      <c r="I48" s="3">
        <v>0</v>
      </c>
      <c r="J48" s="3">
        <v>0</v>
      </c>
      <c r="K48" s="3">
        <v>0</v>
      </c>
      <c r="L48" s="3">
        <f t="shared" si="2"/>
        <v>0</v>
      </c>
      <c r="M48" s="2">
        <v>0</v>
      </c>
      <c r="N48" s="2">
        <v>0</v>
      </c>
      <c r="O48" s="4">
        <f t="shared" si="3"/>
        <v>0</v>
      </c>
    </row>
    <row r="49" spans="1:15" ht="30">
      <c r="A49" s="2">
        <v>45</v>
      </c>
      <c r="B49" s="2" t="s">
        <v>97</v>
      </c>
      <c r="C49" s="2" t="s">
        <v>134</v>
      </c>
      <c r="D49" s="2" t="s">
        <v>155</v>
      </c>
      <c r="E49" s="2" t="s">
        <v>156</v>
      </c>
      <c r="F49" s="2" t="s">
        <v>157</v>
      </c>
      <c r="G49" s="2" t="s">
        <v>22</v>
      </c>
      <c r="H49" s="2" t="s">
        <v>23</v>
      </c>
      <c r="I49" s="3">
        <v>0</v>
      </c>
      <c r="J49" s="3">
        <v>0</v>
      </c>
      <c r="K49" s="3">
        <v>0</v>
      </c>
      <c r="L49" s="3">
        <f t="shared" si="2"/>
        <v>0</v>
      </c>
      <c r="M49" s="2">
        <v>0</v>
      </c>
      <c r="N49" s="2">
        <v>0</v>
      </c>
      <c r="O49" s="4">
        <f t="shared" si="3"/>
        <v>0</v>
      </c>
    </row>
    <row r="50" spans="1:15" ht="30">
      <c r="A50" s="2">
        <v>46</v>
      </c>
      <c r="B50" s="2" t="s">
        <v>97</v>
      </c>
      <c r="C50" s="2" t="s">
        <v>134</v>
      </c>
      <c r="D50" s="2" t="s">
        <v>158</v>
      </c>
      <c r="E50" s="2" t="s">
        <v>159</v>
      </c>
      <c r="F50" s="2" t="s">
        <v>160</v>
      </c>
      <c r="G50" s="2" t="s">
        <v>27</v>
      </c>
      <c r="H50" s="2" t="s">
        <v>23</v>
      </c>
      <c r="I50" s="3">
        <v>0</v>
      </c>
      <c r="J50" s="3">
        <v>0</v>
      </c>
      <c r="K50" s="3">
        <v>0</v>
      </c>
      <c r="L50" s="3">
        <f t="shared" si="2"/>
        <v>0</v>
      </c>
      <c r="M50" s="2">
        <v>0</v>
      </c>
      <c r="N50" s="2">
        <v>0</v>
      </c>
      <c r="O50" s="4">
        <f t="shared" si="3"/>
        <v>0</v>
      </c>
    </row>
    <row r="51" spans="1:15" ht="30">
      <c r="A51" s="2">
        <v>47</v>
      </c>
      <c r="B51" s="2" t="s">
        <v>97</v>
      </c>
      <c r="C51" s="2" t="s">
        <v>134</v>
      </c>
      <c r="D51" s="2" t="s">
        <v>161</v>
      </c>
      <c r="E51" s="2" t="s">
        <v>162</v>
      </c>
      <c r="F51" s="2" t="s">
        <v>163</v>
      </c>
      <c r="G51" s="2" t="s">
        <v>22</v>
      </c>
      <c r="H51" s="2" t="s">
        <v>23</v>
      </c>
      <c r="I51" s="3">
        <v>0</v>
      </c>
      <c r="J51" s="3">
        <v>0</v>
      </c>
      <c r="K51" s="3">
        <v>0</v>
      </c>
      <c r="L51" s="3">
        <f t="shared" si="2"/>
        <v>0</v>
      </c>
      <c r="M51" s="2">
        <v>0</v>
      </c>
      <c r="N51" s="2">
        <v>0</v>
      </c>
      <c r="O51" s="4">
        <f t="shared" si="3"/>
        <v>0</v>
      </c>
    </row>
    <row r="52" spans="1:15" ht="45">
      <c r="A52" s="2">
        <v>48</v>
      </c>
      <c r="B52" s="2" t="s">
        <v>97</v>
      </c>
      <c r="C52" s="2" t="s">
        <v>134</v>
      </c>
      <c r="D52" s="2" t="s">
        <v>164</v>
      </c>
      <c r="E52" s="2" t="s">
        <v>165</v>
      </c>
      <c r="F52" s="2" t="s">
        <v>166</v>
      </c>
      <c r="G52" s="2" t="s">
        <v>22</v>
      </c>
      <c r="H52" s="2" t="s">
        <v>23</v>
      </c>
      <c r="I52" s="3">
        <v>0</v>
      </c>
      <c r="J52" s="3">
        <v>0</v>
      </c>
      <c r="K52" s="3">
        <v>0</v>
      </c>
      <c r="L52" s="3">
        <f t="shared" si="2"/>
        <v>0</v>
      </c>
      <c r="M52" s="2">
        <v>0</v>
      </c>
      <c r="N52" s="2">
        <v>0</v>
      </c>
      <c r="O52" s="4">
        <f t="shared" si="3"/>
        <v>0</v>
      </c>
    </row>
    <row r="53" spans="1:15" ht="45">
      <c r="A53" s="2">
        <v>49</v>
      </c>
      <c r="B53" s="2" t="s">
        <v>97</v>
      </c>
      <c r="C53" s="2" t="s">
        <v>134</v>
      </c>
      <c r="D53" s="2" t="s">
        <v>167</v>
      </c>
      <c r="E53" s="2" t="s">
        <v>168</v>
      </c>
      <c r="F53" s="2" t="s">
        <v>169</v>
      </c>
      <c r="G53" s="2" t="s">
        <v>22</v>
      </c>
      <c r="H53" s="2" t="s">
        <v>23</v>
      </c>
      <c r="I53" s="3">
        <v>0</v>
      </c>
      <c r="J53" s="3">
        <v>0</v>
      </c>
      <c r="K53" s="3">
        <v>0</v>
      </c>
      <c r="L53" s="3">
        <f t="shared" si="2"/>
        <v>0</v>
      </c>
      <c r="M53" s="2">
        <v>0</v>
      </c>
      <c r="N53" s="2">
        <v>0</v>
      </c>
      <c r="O53" s="4">
        <f t="shared" si="3"/>
        <v>0</v>
      </c>
    </row>
    <row r="54" spans="1:15" ht="30">
      <c r="A54" s="2">
        <v>50</v>
      </c>
      <c r="B54" s="2" t="s">
        <v>97</v>
      </c>
      <c r="C54" s="2" t="s">
        <v>170</v>
      </c>
      <c r="D54" s="2" t="s">
        <v>171</v>
      </c>
      <c r="E54" s="2" t="s">
        <v>172</v>
      </c>
      <c r="F54" s="2" t="s">
        <v>173</v>
      </c>
      <c r="G54" s="2" t="s">
        <v>22</v>
      </c>
      <c r="H54" s="2" t="s">
        <v>23</v>
      </c>
      <c r="I54" s="3">
        <v>0</v>
      </c>
      <c r="J54" s="3">
        <v>0</v>
      </c>
      <c r="K54" s="3">
        <v>0</v>
      </c>
      <c r="L54" s="3">
        <f t="shared" si="2"/>
        <v>0</v>
      </c>
      <c r="M54" s="2">
        <v>0</v>
      </c>
      <c r="N54" s="2">
        <v>0</v>
      </c>
      <c r="O54" s="4">
        <f t="shared" si="3"/>
        <v>0</v>
      </c>
    </row>
    <row r="55" spans="1:15" ht="45">
      <c r="A55" s="2">
        <v>51</v>
      </c>
      <c r="B55" s="2" t="s">
        <v>97</v>
      </c>
      <c r="C55" s="2" t="s">
        <v>170</v>
      </c>
      <c r="D55" s="2" t="s">
        <v>174</v>
      </c>
      <c r="E55" s="2" t="s">
        <v>175</v>
      </c>
      <c r="F55" s="2" t="s">
        <v>176</v>
      </c>
      <c r="G55" s="2" t="s">
        <v>22</v>
      </c>
      <c r="H55" s="2" t="s">
        <v>23</v>
      </c>
      <c r="I55" s="3">
        <v>0</v>
      </c>
      <c r="J55" s="3">
        <v>0</v>
      </c>
      <c r="K55" s="3">
        <v>0</v>
      </c>
      <c r="L55" s="3">
        <f t="shared" si="2"/>
        <v>0</v>
      </c>
      <c r="M55" s="2">
        <v>0</v>
      </c>
      <c r="N55" s="2">
        <v>0</v>
      </c>
      <c r="O55" s="4">
        <f t="shared" si="3"/>
        <v>0</v>
      </c>
    </row>
    <row r="56" spans="1:15" ht="30">
      <c r="A56" s="2">
        <v>52</v>
      </c>
      <c r="B56" s="2" t="s">
        <v>97</v>
      </c>
      <c r="C56" s="2" t="s">
        <v>170</v>
      </c>
      <c r="D56" s="2" t="s">
        <v>177</v>
      </c>
      <c r="E56" s="2" t="s">
        <v>178</v>
      </c>
      <c r="F56" s="2" t="s">
        <v>179</v>
      </c>
      <c r="G56" s="2" t="s">
        <v>22</v>
      </c>
      <c r="H56" s="2" t="s">
        <v>23</v>
      </c>
      <c r="I56" s="3">
        <v>0</v>
      </c>
      <c r="J56" s="3">
        <v>0</v>
      </c>
      <c r="K56" s="3">
        <v>0</v>
      </c>
      <c r="L56" s="3">
        <f t="shared" si="2"/>
        <v>0</v>
      </c>
      <c r="M56" s="2">
        <v>0</v>
      </c>
      <c r="N56" s="2">
        <v>0</v>
      </c>
      <c r="O56" s="4">
        <f t="shared" si="3"/>
        <v>0</v>
      </c>
    </row>
    <row r="57" spans="1:15" ht="30">
      <c r="A57" s="2">
        <v>53</v>
      </c>
      <c r="B57" s="2" t="s">
        <v>97</v>
      </c>
      <c r="C57" s="2" t="s">
        <v>170</v>
      </c>
      <c r="D57" s="2" t="s">
        <v>180</v>
      </c>
      <c r="E57" s="2" t="s">
        <v>181</v>
      </c>
      <c r="F57" s="2" t="s">
        <v>182</v>
      </c>
      <c r="G57" s="2" t="s">
        <v>22</v>
      </c>
      <c r="H57" s="2" t="s">
        <v>23</v>
      </c>
      <c r="I57" s="3">
        <v>0</v>
      </c>
      <c r="J57" s="3">
        <v>0</v>
      </c>
      <c r="K57" s="3">
        <v>0</v>
      </c>
      <c r="L57" s="3">
        <f t="shared" si="2"/>
        <v>0</v>
      </c>
      <c r="M57" s="2">
        <v>0</v>
      </c>
      <c r="N57" s="2">
        <v>0</v>
      </c>
      <c r="O57" s="4">
        <f t="shared" si="3"/>
        <v>0</v>
      </c>
    </row>
    <row r="58" spans="1:15" ht="30">
      <c r="A58" s="2">
        <v>54</v>
      </c>
      <c r="B58" s="2" t="s">
        <v>97</v>
      </c>
      <c r="C58" s="2" t="s">
        <v>170</v>
      </c>
      <c r="D58" s="2" t="s">
        <v>183</v>
      </c>
      <c r="E58" s="2" t="s">
        <v>184</v>
      </c>
      <c r="F58" s="2" t="s">
        <v>182</v>
      </c>
      <c r="G58" s="2" t="s">
        <v>22</v>
      </c>
      <c r="H58" s="2" t="s">
        <v>23</v>
      </c>
      <c r="I58" s="3">
        <v>0</v>
      </c>
      <c r="J58" s="3">
        <v>0</v>
      </c>
      <c r="K58" s="3">
        <v>0</v>
      </c>
      <c r="L58" s="3">
        <f t="shared" si="2"/>
        <v>0</v>
      </c>
      <c r="M58" s="2">
        <v>0</v>
      </c>
      <c r="N58" s="2">
        <v>0</v>
      </c>
      <c r="O58" s="4">
        <f t="shared" si="3"/>
        <v>0</v>
      </c>
    </row>
    <row r="59" spans="1:15" ht="30">
      <c r="A59" s="2">
        <v>55</v>
      </c>
      <c r="B59" s="2" t="s">
        <v>97</v>
      </c>
      <c r="C59" s="2" t="s">
        <v>170</v>
      </c>
      <c r="D59" s="2" t="s">
        <v>185</v>
      </c>
      <c r="E59" s="2" t="s">
        <v>186</v>
      </c>
      <c r="F59" s="2" t="s">
        <v>187</v>
      </c>
      <c r="G59" s="2" t="s">
        <v>22</v>
      </c>
      <c r="H59" s="2" t="s">
        <v>23</v>
      </c>
      <c r="I59" s="3">
        <v>0</v>
      </c>
      <c r="J59" s="3">
        <v>0</v>
      </c>
      <c r="K59" s="3">
        <v>0</v>
      </c>
      <c r="L59" s="3">
        <f t="shared" si="2"/>
        <v>0</v>
      </c>
      <c r="M59" s="2">
        <v>0</v>
      </c>
      <c r="N59" s="2">
        <v>0</v>
      </c>
      <c r="O59" s="4">
        <f t="shared" si="3"/>
        <v>0</v>
      </c>
    </row>
    <row r="60" spans="1:15" ht="30">
      <c r="A60" s="2">
        <v>56</v>
      </c>
      <c r="B60" s="2" t="s">
        <v>97</v>
      </c>
      <c r="C60" s="2" t="s">
        <v>170</v>
      </c>
      <c r="D60" s="2" t="s">
        <v>188</v>
      </c>
      <c r="E60" s="2" t="s">
        <v>189</v>
      </c>
      <c r="F60" s="2" t="s">
        <v>101</v>
      </c>
      <c r="G60" s="2" t="s">
        <v>22</v>
      </c>
      <c r="H60" s="2" t="s">
        <v>23</v>
      </c>
      <c r="I60" s="3">
        <v>0</v>
      </c>
      <c r="J60" s="3">
        <v>0</v>
      </c>
      <c r="K60" s="3">
        <v>0</v>
      </c>
      <c r="L60" s="3">
        <f t="shared" si="2"/>
        <v>0</v>
      </c>
      <c r="M60" s="2">
        <v>0</v>
      </c>
      <c r="N60" s="2">
        <v>0</v>
      </c>
      <c r="O60" s="4">
        <f t="shared" si="3"/>
        <v>0</v>
      </c>
    </row>
    <row r="61" spans="1:15" ht="45">
      <c r="A61" s="2">
        <v>57</v>
      </c>
      <c r="B61" s="2" t="s">
        <v>97</v>
      </c>
      <c r="C61" s="2" t="s">
        <v>170</v>
      </c>
      <c r="D61" s="2" t="s">
        <v>190</v>
      </c>
      <c r="E61" s="2" t="s">
        <v>191</v>
      </c>
      <c r="F61" s="2" t="s">
        <v>192</v>
      </c>
      <c r="G61" s="2" t="s">
        <v>22</v>
      </c>
      <c r="H61" s="2" t="s">
        <v>23</v>
      </c>
      <c r="I61" s="3">
        <v>0</v>
      </c>
      <c r="J61" s="3">
        <v>0</v>
      </c>
      <c r="K61" s="3">
        <v>0</v>
      </c>
      <c r="L61" s="3">
        <f t="shared" si="2"/>
        <v>0</v>
      </c>
      <c r="M61" s="2">
        <v>0</v>
      </c>
      <c r="N61" s="2">
        <v>0</v>
      </c>
      <c r="O61" s="4">
        <f t="shared" si="3"/>
        <v>0</v>
      </c>
    </row>
    <row r="62" spans="1:15" ht="45">
      <c r="A62" s="2">
        <v>58</v>
      </c>
      <c r="B62" s="2" t="s">
        <v>97</v>
      </c>
      <c r="C62" s="2" t="s">
        <v>170</v>
      </c>
      <c r="D62" s="2" t="s">
        <v>193</v>
      </c>
      <c r="E62" s="2" t="s">
        <v>194</v>
      </c>
      <c r="F62" s="2" t="s">
        <v>195</v>
      </c>
      <c r="G62" s="2" t="s">
        <v>22</v>
      </c>
      <c r="H62" s="2" t="s">
        <v>23</v>
      </c>
      <c r="I62" s="3">
        <v>0</v>
      </c>
      <c r="J62" s="3">
        <v>0</v>
      </c>
      <c r="K62" s="3">
        <v>0</v>
      </c>
      <c r="L62" s="3">
        <f t="shared" si="2"/>
        <v>0</v>
      </c>
      <c r="M62" s="2">
        <v>0</v>
      </c>
      <c r="N62" s="2">
        <v>0</v>
      </c>
      <c r="O62" s="4">
        <f t="shared" si="3"/>
        <v>0</v>
      </c>
    </row>
    <row r="63" spans="1:15" ht="30">
      <c r="A63" s="2">
        <v>59</v>
      </c>
      <c r="B63" s="2" t="s">
        <v>97</v>
      </c>
      <c r="C63" s="2" t="s">
        <v>170</v>
      </c>
      <c r="D63" s="2" t="s">
        <v>196</v>
      </c>
      <c r="E63" s="2" t="s">
        <v>197</v>
      </c>
      <c r="F63" s="2" t="s">
        <v>198</v>
      </c>
      <c r="G63" s="2" t="s">
        <v>27</v>
      </c>
      <c r="H63" s="2" t="s">
        <v>23</v>
      </c>
      <c r="I63" s="3">
        <v>0</v>
      </c>
      <c r="J63" s="3">
        <v>0</v>
      </c>
      <c r="K63" s="3">
        <v>0</v>
      </c>
      <c r="L63" s="3">
        <f t="shared" si="2"/>
        <v>0</v>
      </c>
      <c r="M63" s="2">
        <v>0</v>
      </c>
      <c r="N63" s="2">
        <v>0</v>
      </c>
      <c r="O63" s="4">
        <f t="shared" si="3"/>
        <v>0</v>
      </c>
    </row>
    <row r="64" spans="1:15" ht="30">
      <c r="A64" s="2">
        <v>60</v>
      </c>
      <c r="B64" s="2" t="s">
        <v>97</v>
      </c>
      <c r="C64" s="2" t="s">
        <v>199</v>
      </c>
      <c r="D64" s="2" t="s">
        <v>200</v>
      </c>
      <c r="E64" s="2" t="s">
        <v>201</v>
      </c>
      <c r="F64" s="2" t="s">
        <v>202</v>
      </c>
      <c r="G64" s="2" t="s">
        <v>22</v>
      </c>
      <c r="H64" s="2" t="s">
        <v>23</v>
      </c>
      <c r="I64" s="3">
        <v>0</v>
      </c>
      <c r="J64" s="3">
        <v>0</v>
      </c>
      <c r="K64" s="3">
        <v>0</v>
      </c>
      <c r="L64" s="3">
        <f t="shared" si="2"/>
        <v>0</v>
      </c>
      <c r="M64" s="2">
        <v>0</v>
      </c>
      <c r="N64" s="2">
        <v>0</v>
      </c>
      <c r="O64" s="4">
        <f t="shared" si="3"/>
        <v>0</v>
      </c>
    </row>
    <row r="65" spans="1:15" ht="45">
      <c r="A65" s="2">
        <v>61</v>
      </c>
      <c r="B65" s="2" t="s">
        <v>97</v>
      </c>
      <c r="C65" s="2" t="s">
        <v>199</v>
      </c>
      <c r="D65" s="2" t="s">
        <v>203</v>
      </c>
      <c r="E65" s="2" t="s">
        <v>204</v>
      </c>
      <c r="F65" s="2" t="s">
        <v>205</v>
      </c>
      <c r="G65" s="2" t="s">
        <v>22</v>
      </c>
      <c r="H65" s="2" t="s">
        <v>23</v>
      </c>
      <c r="I65" s="3">
        <v>0</v>
      </c>
      <c r="J65" s="3">
        <v>0</v>
      </c>
      <c r="K65" s="3">
        <v>0</v>
      </c>
      <c r="L65" s="3">
        <f t="shared" si="2"/>
        <v>0</v>
      </c>
      <c r="M65" s="2">
        <v>0</v>
      </c>
      <c r="N65" s="2">
        <v>0</v>
      </c>
      <c r="O65" s="4">
        <f t="shared" si="3"/>
        <v>0</v>
      </c>
    </row>
    <row r="66" spans="1:15" ht="30">
      <c r="A66" s="2">
        <v>62</v>
      </c>
      <c r="B66" s="2" t="s">
        <v>97</v>
      </c>
      <c r="C66" s="2" t="s">
        <v>199</v>
      </c>
      <c r="D66" s="2" t="s">
        <v>206</v>
      </c>
      <c r="E66" s="2" t="s">
        <v>207</v>
      </c>
      <c r="F66" s="2" t="s">
        <v>208</v>
      </c>
      <c r="G66" s="2" t="s">
        <v>22</v>
      </c>
      <c r="H66" s="2" t="s">
        <v>23</v>
      </c>
      <c r="I66" s="3">
        <v>0</v>
      </c>
      <c r="J66" s="3">
        <v>0</v>
      </c>
      <c r="K66" s="3">
        <v>0</v>
      </c>
      <c r="L66" s="3">
        <f t="shared" si="2"/>
        <v>0</v>
      </c>
      <c r="M66" s="2">
        <v>0</v>
      </c>
      <c r="N66" s="2">
        <v>0</v>
      </c>
      <c r="O66" s="4">
        <f t="shared" si="3"/>
        <v>0</v>
      </c>
    </row>
    <row r="67" spans="1:15" ht="30">
      <c r="A67" s="2">
        <v>63</v>
      </c>
      <c r="B67" s="2" t="s">
        <v>97</v>
      </c>
      <c r="C67" s="2" t="s">
        <v>199</v>
      </c>
      <c r="D67" s="2" t="s">
        <v>209</v>
      </c>
      <c r="E67" s="2" t="s">
        <v>210</v>
      </c>
      <c r="F67" s="2" t="s">
        <v>208</v>
      </c>
      <c r="G67" s="2" t="s">
        <v>22</v>
      </c>
      <c r="H67" s="2" t="s">
        <v>23</v>
      </c>
      <c r="I67" s="3">
        <v>0</v>
      </c>
      <c r="J67" s="3">
        <v>0</v>
      </c>
      <c r="K67" s="3">
        <v>0</v>
      </c>
      <c r="L67" s="3">
        <f t="shared" si="2"/>
        <v>0</v>
      </c>
      <c r="M67" s="2">
        <v>0</v>
      </c>
      <c r="N67" s="2">
        <v>0</v>
      </c>
      <c r="O67" s="4">
        <f t="shared" si="3"/>
        <v>0</v>
      </c>
    </row>
    <row r="68" spans="1:15" ht="30">
      <c r="A68" s="2">
        <v>64</v>
      </c>
      <c r="B68" s="2" t="s">
        <v>97</v>
      </c>
      <c r="C68" s="2" t="s">
        <v>199</v>
      </c>
      <c r="D68" s="2" t="s">
        <v>211</v>
      </c>
      <c r="E68" s="2" t="s">
        <v>212</v>
      </c>
      <c r="F68" s="2" t="s">
        <v>213</v>
      </c>
      <c r="G68" s="2" t="s">
        <v>22</v>
      </c>
      <c r="H68" s="2" t="s">
        <v>23</v>
      </c>
      <c r="I68" s="3">
        <v>0</v>
      </c>
      <c r="J68" s="3">
        <v>0</v>
      </c>
      <c r="K68" s="3">
        <v>0</v>
      </c>
      <c r="L68" s="3">
        <f t="shared" si="2"/>
        <v>0</v>
      </c>
      <c r="M68" s="2">
        <v>0</v>
      </c>
      <c r="N68" s="2">
        <v>0</v>
      </c>
      <c r="O68" s="4">
        <f t="shared" si="3"/>
        <v>0</v>
      </c>
    </row>
    <row r="69" spans="1:15" ht="30">
      <c r="A69" s="2">
        <v>65</v>
      </c>
      <c r="B69" s="2" t="s">
        <v>97</v>
      </c>
      <c r="C69" s="2" t="s">
        <v>199</v>
      </c>
      <c r="D69" s="2" t="s">
        <v>214</v>
      </c>
      <c r="E69" s="2" t="s">
        <v>215</v>
      </c>
      <c r="F69" s="2" t="s">
        <v>101</v>
      </c>
      <c r="G69" s="2" t="s">
        <v>22</v>
      </c>
      <c r="H69" s="2" t="s">
        <v>23</v>
      </c>
      <c r="I69" s="3">
        <v>0</v>
      </c>
      <c r="J69" s="3">
        <v>0</v>
      </c>
      <c r="K69" s="3">
        <v>0</v>
      </c>
      <c r="L69" s="3">
        <f>SUM(I69:K69)</f>
        <v>0</v>
      </c>
      <c r="M69" s="2">
        <v>0</v>
      </c>
      <c r="N69" s="2">
        <v>0</v>
      </c>
      <c r="O69" s="4">
        <f>IFERROR(N69/M69,0)</f>
        <v>0</v>
      </c>
    </row>
    <row r="70" spans="1:15" ht="30">
      <c r="A70" s="2">
        <v>66</v>
      </c>
      <c r="B70" s="2" t="s">
        <v>97</v>
      </c>
      <c r="C70" s="2" t="s">
        <v>199</v>
      </c>
      <c r="D70" s="2" t="s">
        <v>216</v>
      </c>
      <c r="E70" s="2" t="s">
        <v>217</v>
      </c>
      <c r="F70" s="2" t="s">
        <v>166</v>
      </c>
      <c r="G70" s="2" t="s">
        <v>22</v>
      </c>
      <c r="H70" s="2" t="s">
        <v>23</v>
      </c>
      <c r="I70" s="3">
        <v>0</v>
      </c>
      <c r="J70" s="3">
        <v>0</v>
      </c>
      <c r="K70" s="3">
        <v>0</v>
      </c>
      <c r="L70" s="3">
        <f>SUM(I70:K70)</f>
        <v>0</v>
      </c>
      <c r="M70" s="2">
        <v>0</v>
      </c>
      <c r="N70" s="2">
        <v>0</v>
      </c>
      <c r="O70" s="4">
        <f>IFERROR(N70/M70,0)</f>
        <v>0</v>
      </c>
    </row>
    <row r="71" spans="1:15" ht="45">
      <c r="A71" s="2">
        <v>67</v>
      </c>
      <c r="B71" s="2" t="s">
        <v>97</v>
      </c>
      <c r="C71" s="2" t="s">
        <v>199</v>
      </c>
      <c r="D71" s="2" t="s">
        <v>218</v>
      </c>
      <c r="E71" s="2" t="s">
        <v>219</v>
      </c>
      <c r="F71" s="2" t="s">
        <v>220</v>
      </c>
      <c r="G71" s="2" t="s">
        <v>22</v>
      </c>
      <c r="H71" s="2" t="s">
        <v>23</v>
      </c>
      <c r="I71" s="3">
        <v>0</v>
      </c>
      <c r="J71" s="3">
        <v>0</v>
      </c>
      <c r="K71" s="3">
        <v>0</v>
      </c>
      <c r="L71" s="3">
        <f>SUM(I71:K71)</f>
        <v>0</v>
      </c>
      <c r="M71" s="2">
        <v>0</v>
      </c>
      <c r="N71" s="2">
        <v>0</v>
      </c>
      <c r="O71" s="4">
        <f>IFERROR(N71/M71,0)</f>
        <v>0</v>
      </c>
    </row>
  </sheetData>
  <autoFilter ref="A4:O71"/>
  <mergeCells count="2">
    <mergeCell ref="A2:N2"/>
    <mergeCell ref="A1:N1"/>
  </mergeCells>
  <conditionalFormatting sqref="O5:O71">
    <cfRule type="colorScale" priority="1">
      <colorScale>
        <cfvo type="num" val="0"/>
        <cfvo type="num" val="0.7"/>
        <cfvo type="num" val="1"/>
        <color rgb="FFF4CCCC"/>
        <color rgb="FFFFF2CC"/>
        <color rgb="FFD9EAD3"/>
      </colorScale>
    </cfRule>
  </conditionalFormatting>
  <conditionalFormatting sqref="H5:H71">
    <cfRule type="expression" dxfId="1" priority="2">
      <formula>$H5="Concluído"</formula>
    </cfRule>
  </conditionalFormatting>
  <conditionalFormatting sqref="G5:G71">
    <cfRule type="expression" dxfId="0" priority="3">
      <formula>$G5="Alta"</formula>
    </cfRule>
  </conditionalFormatting>
  <dataValidations count="1">
    <dataValidation type="list" allowBlank="1" sqref="H5 H6 H7 H8 H9 H10 H11 H12 H13 H14 H15 H16 H17 H18 H19 H20 H21 H22 H23 H24 H25 H26 H27 H28 H29 H30 H31 H32 H33 H34 H35 H36 H37 H38 H39 H40 H41 H42 H43 H44 H45 H46 H47 H48 H49 H50 H51 H52 H53 H54 H55 H56 H57 H58 H59 H60 H61 H62 H63 H64 H65 H66 H67 H68 H69 H70 H71">
      <formula1>"Não iniciado,Em estudo,Revisar,Concluído"</formula1>
    </dataValidation>
  </dataValidations>
  <pageMargins left="0.75" right="0.75" top="1" bottom="1" header="0.5" footer="0.5"/>
  <pageSetup fitToHeight="0" orientation="landscape"/>
</worksheet>
</file>

<file path=xl/worksheets/sheet10.xml><?xml version="1.0" encoding="utf-8"?>
<worksheet xmlns="http://schemas.openxmlformats.org/spreadsheetml/2006/main" xmlns:r="http://schemas.openxmlformats.org/officeDocument/2006/relationships">
  <dimension ref="A1:I12"/>
  <sheetViews>
    <sheetView showGridLines="0" topLeftCell="A22" workbookViewId="0">
      <selection activeCell="C16" sqref="C16"/>
    </sheetView>
  </sheetViews>
  <sheetFormatPr defaultRowHeight="15"/>
  <cols>
    <col min="1" max="1" width="25" customWidth="1"/>
    <col min="2" max="2" width="18" customWidth="1"/>
    <col min="3" max="3" width="3" customWidth="1"/>
    <col min="4" max="4" width="34" customWidth="1"/>
    <col min="5" max="9" width="12" customWidth="1"/>
  </cols>
  <sheetData>
    <row r="1" spans="1:9" ht="21">
      <c r="A1" s="25" t="s">
        <v>224</v>
      </c>
      <c r="B1" s="22"/>
      <c r="C1" s="22"/>
      <c r="D1" s="22"/>
      <c r="E1" s="22"/>
      <c r="F1" s="22"/>
      <c r="G1" s="22"/>
      <c r="H1" s="22"/>
    </row>
    <row r="3" spans="1:9" ht="15.75">
      <c r="A3" s="6" t="s">
        <v>225</v>
      </c>
      <c r="B3" s="7">
        <f>COUNTA('Plano de Estudo'!A5:A71)</f>
        <v>67</v>
      </c>
      <c r="D3" s="8" t="s">
        <v>226</v>
      </c>
    </row>
    <row r="4" spans="1:9" ht="15.75">
      <c r="A4" s="6" t="s">
        <v>227</v>
      </c>
      <c r="B4" s="7">
        <f>COUNTIF('Plano de Estudo'!H5:H71,"Concluído")</f>
        <v>0</v>
      </c>
      <c r="D4" s="9" t="s">
        <v>4</v>
      </c>
      <c r="E4" s="9" t="s">
        <v>228</v>
      </c>
      <c r="F4" s="9" t="s">
        <v>229</v>
      </c>
      <c r="G4" s="9" t="s">
        <v>230</v>
      </c>
      <c r="H4" s="9" t="s">
        <v>231</v>
      </c>
      <c r="I4" s="9" t="s">
        <v>16</v>
      </c>
    </row>
    <row r="5" spans="1:9" ht="15.75">
      <c r="A5" s="6" t="s">
        <v>232</v>
      </c>
      <c r="B5" s="7">
        <f>COUNTIF('Plano de Estudo'!H5:H71,"Em estudo")</f>
        <v>0</v>
      </c>
      <c r="D5" s="2" t="s">
        <v>18</v>
      </c>
      <c r="E5" s="2">
        <f>COUNTIF('Plano de Estudo'!C5:C71,D5)</f>
        <v>10</v>
      </c>
      <c r="F5" s="2">
        <f>COUNTIFS('Plano de Estudo'!C5:C71,D5,'Plano de Estudo'!H5:H71,"Concluído")</f>
        <v>0</v>
      </c>
      <c r="G5" s="2">
        <f>SUMIF('Plano de Estudo'!C5:C71,D5,'Plano de Estudo'!L5:L71)</f>
        <v>0</v>
      </c>
      <c r="H5" s="2">
        <f>SUMIF('Plano de Estudo'!C5:C71,D5,'Plano de Estudo'!M5:M71)</f>
        <v>0</v>
      </c>
      <c r="I5" s="4">
        <f>IFERROR(SUMIF('Plano de Estudo'!C5:C71,D5,'Plano de Estudo'!N5:N71)/H5,0)</f>
        <v>0</v>
      </c>
    </row>
    <row r="6" spans="1:9" ht="15.75">
      <c r="A6" s="6" t="s">
        <v>233</v>
      </c>
      <c r="B6" s="7">
        <f>COUNTIF('Plano de Estudo'!H5:H71,"Revisar")</f>
        <v>0</v>
      </c>
      <c r="D6" s="2" t="s">
        <v>52</v>
      </c>
      <c r="E6" s="2">
        <f>COUNTIF('Plano de Estudo'!C5:C71,D6)</f>
        <v>5</v>
      </c>
      <c r="F6" s="2">
        <f>COUNTIFS('Plano de Estudo'!C5:C71,D6,'Plano de Estudo'!H5:H71,"Concluído")</f>
        <v>0</v>
      </c>
      <c r="G6" s="2">
        <f>SUMIF('Plano de Estudo'!C5:C71,D6,'Plano de Estudo'!L5:L71)</f>
        <v>0</v>
      </c>
      <c r="H6" s="2">
        <f>SUMIF('Plano de Estudo'!C5:C71,D6,'Plano de Estudo'!M5:M71)</f>
        <v>0</v>
      </c>
      <c r="I6" s="4">
        <f>IFERROR(SUMIF('Plano de Estudo'!C5:C71,D6,'Plano de Estudo'!N5:N71)/H6,0)</f>
        <v>0</v>
      </c>
    </row>
    <row r="7" spans="1:9" ht="15.75">
      <c r="A7" s="6" t="s">
        <v>234</v>
      </c>
      <c r="B7" s="7">
        <f>COUNTIF('Plano de Estudo'!H5:H71,"Não iniciado")</f>
        <v>67</v>
      </c>
      <c r="D7" s="2" t="s">
        <v>68</v>
      </c>
      <c r="E7" s="2">
        <f>COUNTIF('Plano de Estudo'!C5:C71,D7)</f>
        <v>4</v>
      </c>
      <c r="F7" s="2">
        <f>COUNTIFS('Plano de Estudo'!C5:C71,D7,'Plano de Estudo'!H5:H71,"Concluído")</f>
        <v>0</v>
      </c>
      <c r="G7" s="2">
        <f>SUMIF('Plano de Estudo'!C5:C71,D7,'Plano de Estudo'!L5:L71)</f>
        <v>0</v>
      </c>
      <c r="H7" s="2">
        <f>SUMIF('Plano de Estudo'!C5:C71,D7,'Plano de Estudo'!M5:M71)</f>
        <v>0</v>
      </c>
      <c r="I7" s="4">
        <f>IFERROR(SUMIF('Plano de Estudo'!C5:C71,D7,'Plano de Estudo'!N5:N71)/H7,0)</f>
        <v>0</v>
      </c>
    </row>
    <row r="8" spans="1:9" ht="15.75">
      <c r="A8" s="6" t="s">
        <v>235</v>
      </c>
      <c r="B8" s="7">
        <f>SUM('Plano de Estudo'!L5:L71)</f>
        <v>0</v>
      </c>
      <c r="D8" s="2" t="s">
        <v>81</v>
      </c>
      <c r="E8" s="2">
        <f>COUNTIF('Plano de Estudo'!C5:C71,D8)</f>
        <v>5</v>
      </c>
      <c r="F8" s="2">
        <f>COUNTIFS('Plano de Estudo'!C5:C71,D8,'Plano de Estudo'!H5:H71,"Concluído")</f>
        <v>0</v>
      </c>
      <c r="G8" s="2">
        <f>SUMIF('Plano de Estudo'!C5:C71,D8,'Plano de Estudo'!L5:L71)</f>
        <v>0</v>
      </c>
      <c r="H8" s="2">
        <f>SUMIF('Plano de Estudo'!C5:C71,D8,'Plano de Estudo'!M5:M71)</f>
        <v>0</v>
      </c>
      <c r="I8" s="4">
        <f>IFERROR(SUMIF('Plano de Estudo'!C5:C71,D8,'Plano de Estudo'!N5:N71)/H8,0)</f>
        <v>0</v>
      </c>
    </row>
    <row r="9" spans="1:9" ht="15.75">
      <c r="A9" s="6" t="s">
        <v>14</v>
      </c>
      <c r="B9" s="7">
        <f>SUM('Plano de Estudo'!M5:M71)</f>
        <v>0</v>
      </c>
      <c r="D9" s="2" t="s">
        <v>98</v>
      </c>
      <c r="E9" s="2">
        <f>COUNTIF('Plano de Estudo'!C5:C71,D9)</f>
        <v>12</v>
      </c>
      <c r="F9" s="2">
        <f>COUNTIFS('Plano de Estudo'!C5:C71,D9,'Plano de Estudo'!H5:H71,"Concluído")</f>
        <v>0</v>
      </c>
      <c r="G9" s="2">
        <f>SUMIF('Plano de Estudo'!C5:C71,D9,'Plano de Estudo'!L5:L71)</f>
        <v>0</v>
      </c>
      <c r="H9" s="2">
        <f>SUMIF('Plano de Estudo'!C5:C71,D9,'Plano de Estudo'!M5:M71)</f>
        <v>0</v>
      </c>
      <c r="I9" s="4">
        <f>IFERROR(SUMIF('Plano de Estudo'!C5:C71,D9,'Plano de Estudo'!N5:N71)/H9,0)</f>
        <v>0</v>
      </c>
    </row>
    <row r="10" spans="1:9" ht="15.75">
      <c r="A10" s="6" t="s">
        <v>15</v>
      </c>
      <c r="B10" s="7">
        <f>SUM('Plano de Estudo'!N5:N71)</f>
        <v>0</v>
      </c>
      <c r="D10" s="2" t="s">
        <v>134</v>
      </c>
      <c r="E10" s="2">
        <f>COUNTIF('Plano de Estudo'!C5:C71,D10)</f>
        <v>13</v>
      </c>
      <c r="F10" s="2">
        <f>COUNTIFS('Plano de Estudo'!C5:C71,D10,'Plano de Estudo'!H5:H71,"Concluído")</f>
        <v>0</v>
      </c>
      <c r="G10" s="2">
        <f>SUMIF('Plano de Estudo'!C5:C71,D10,'Plano de Estudo'!L5:L71)</f>
        <v>0</v>
      </c>
      <c r="H10" s="2">
        <f>SUMIF('Plano de Estudo'!C5:C71,D10,'Plano de Estudo'!M5:M71)</f>
        <v>0</v>
      </c>
      <c r="I10" s="4">
        <f>IFERROR(SUMIF('Plano de Estudo'!C5:C71,D10,'Plano de Estudo'!N5:N71)/H10,0)</f>
        <v>0</v>
      </c>
    </row>
    <row r="11" spans="1:9" ht="15.75">
      <c r="A11" s="6" t="s">
        <v>236</v>
      </c>
      <c r="B11" s="10">
        <f>IFERROR(SUM('Plano de Estudo'!N5:N71)/SUM('Plano de Estudo'!M5:M71),0)</f>
        <v>0</v>
      </c>
      <c r="D11" s="2" t="s">
        <v>170</v>
      </c>
      <c r="E11" s="2">
        <f>COUNTIF('Plano de Estudo'!C5:C71,D11)</f>
        <v>10</v>
      </c>
      <c r="F11" s="2">
        <f>COUNTIFS('Plano de Estudo'!C5:C71,D11,'Plano de Estudo'!H5:H71,"Concluído")</f>
        <v>0</v>
      </c>
      <c r="G11" s="2">
        <f>SUMIF('Plano de Estudo'!C5:C71,D11,'Plano de Estudo'!L5:L71)</f>
        <v>0</v>
      </c>
      <c r="H11" s="2">
        <f>SUMIF('Plano de Estudo'!C5:C71,D11,'Plano de Estudo'!M5:M71)</f>
        <v>0</v>
      </c>
      <c r="I11" s="4">
        <f>IFERROR(SUMIF('Plano de Estudo'!C5:C71,D11,'Plano de Estudo'!N5:N71)/H11,0)</f>
        <v>0</v>
      </c>
    </row>
    <row r="12" spans="1:9">
      <c r="D12" s="2" t="s">
        <v>199</v>
      </c>
      <c r="E12" s="2">
        <f>COUNTIF('Plano de Estudo'!C5:C71,D12)</f>
        <v>8</v>
      </c>
      <c r="F12" s="2">
        <f>COUNTIFS('Plano de Estudo'!C5:C71,D12,'Plano de Estudo'!H5:H71,"Concluído")</f>
        <v>0</v>
      </c>
      <c r="G12" s="2">
        <f>SUMIF('Plano de Estudo'!C5:C71,D12,'Plano de Estudo'!L5:L71)</f>
        <v>0</v>
      </c>
      <c r="H12" s="2">
        <f>SUMIF('Plano de Estudo'!C5:C71,D12,'Plano de Estudo'!M5:M71)</f>
        <v>0</v>
      </c>
      <c r="I12" s="4">
        <f>IFERROR(SUMIF('Plano de Estudo'!C5:C71,D12,'Plano de Estudo'!N5:N71)/H12,0)</f>
        <v>0</v>
      </c>
    </row>
  </sheetData>
  <mergeCells count="1">
    <mergeCell ref="A1:H1"/>
  </mergeCell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dimension ref="A1:H70"/>
  <sheetViews>
    <sheetView showGridLines="0" workbookViewId="0">
      <pane ySplit="3" topLeftCell="A4" activePane="bottomLeft" state="frozen"/>
      <selection pane="bottomLeft" activeCell="B4" sqref="B4"/>
    </sheetView>
  </sheetViews>
  <sheetFormatPr defaultRowHeight="15"/>
  <cols>
    <col min="1" max="1" width="7" customWidth="1"/>
    <col min="2" max="2" width="50" customWidth="1"/>
    <col min="3" max="6" width="15" customWidth="1"/>
    <col min="7" max="7" width="25" customWidth="1"/>
    <col min="8" max="8" width="40" customWidth="1"/>
  </cols>
  <sheetData>
    <row r="1" spans="1:8" ht="19.5">
      <c r="A1" s="24" t="s">
        <v>237</v>
      </c>
      <c r="B1" s="22"/>
      <c r="C1" s="22"/>
      <c r="D1" s="22"/>
      <c r="E1" s="22"/>
      <c r="F1" s="22"/>
      <c r="G1" s="22"/>
      <c r="H1" s="22"/>
    </row>
    <row r="3" spans="1:8">
      <c r="A3" s="5" t="s">
        <v>2</v>
      </c>
      <c r="B3" s="5" t="s">
        <v>238</v>
      </c>
      <c r="C3" s="5" t="s">
        <v>239</v>
      </c>
      <c r="D3" s="5" t="s">
        <v>240</v>
      </c>
      <c r="E3" s="5" t="s">
        <v>241</v>
      </c>
      <c r="F3" s="5" t="s">
        <v>242</v>
      </c>
      <c r="G3" s="5" t="s">
        <v>243</v>
      </c>
      <c r="H3" s="5" t="s">
        <v>244</v>
      </c>
    </row>
    <row r="4" spans="1:8">
      <c r="A4" s="2">
        <v>1</v>
      </c>
      <c r="B4" s="2" t="s">
        <v>19</v>
      </c>
      <c r="C4" s="11"/>
      <c r="D4" s="11" t="str">
        <f t="shared" ref="D4:D35" si="0">IF(C4="","",C4+1)</f>
        <v/>
      </c>
      <c r="E4" s="11" t="str">
        <f t="shared" ref="E4:E35" si="1">IF(C4="","",C4+7)</f>
        <v/>
      </c>
      <c r="F4" s="11" t="str">
        <f t="shared" ref="F4:F35" si="2">IF(C4="","",C4+30)</f>
        <v/>
      </c>
      <c r="G4" s="2"/>
      <c r="H4" s="2"/>
    </row>
    <row r="5" spans="1:8">
      <c r="A5" s="2">
        <v>2</v>
      </c>
      <c r="B5" s="2" t="s">
        <v>24</v>
      </c>
      <c r="C5" s="11"/>
      <c r="D5" s="11" t="str">
        <f t="shared" si="0"/>
        <v/>
      </c>
      <c r="E5" s="11" t="str">
        <f t="shared" si="1"/>
        <v/>
      </c>
      <c r="F5" s="11" t="str">
        <f t="shared" si="2"/>
        <v/>
      </c>
      <c r="G5" s="2"/>
      <c r="H5" s="2"/>
    </row>
    <row r="6" spans="1:8">
      <c r="A6" s="2">
        <v>3</v>
      </c>
      <c r="B6" s="2" t="s">
        <v>28</v>
      </c>
      <c r="C6" s="11"/>
      <c r="D6" s="11" t="str">
        <f t="shared" si="0"/>
        <v/>
      </c>
      <c r="E6" s="11" t="str">
        <f t="shared" si="1"/>
        <v/>
      </c>
      <c r="F6" s="11" t="str">
        <f t="shared" si="2"/>
        <v/>
      </c>
      <c r="G6" s="2"/>
      <c r="H6" s="2"/>
    </row>
    <row r="7" spans="1:8">
      <c r="A7" s="2">
        <v>4</v>
      </c>
      <c r="B7" s="2" t="s">
        <v>31</v>
      </c>
      <c r="C7" s="11"/>
      <c r="D7" s="11" t="str">
        <f t="shared" si="0"/>
        <v/>
      </c>
      <c r="E7" s="11" t="str">
        <f t="shared" si="1"/>
        <v/>
      </c>
      <c r="F7" s="11" t="str">
        <f t="shared" si="2"/>
        <v/>
      </c>
      <c r="G7" s="2"/>
      <c r="H7" s="2"/>
    </row>
    <row r="8" spans="1:8">
      <c r="A8" s="2">
        <v>5</v>
      </c>
      <c r="B8" s="2" t="s">
        <v>34</v>
      </c>
      <c r="C8" s="11"/>
      <c r="D8" s="11" t="str">
        <f t="shared" si="0"/>
        <v/>
      </c>
      <c r="E8" s="11" t="str">
        <f t="shared" si="1"/>
        <v/>
      </c>
      <c r="F8" s="11" t="str">
        <f t="shared" si="2"/>
        <v/>
      </c>
      <c r="G8" s="2"/>
      <c r="H8" s="2"/>
    </row>
    <row r="9" spans="1:8">
      <c r="A9" s="2">
        <v>6</v>
      </c>
      <c r="B9" s="2" t="s">
        <v>37</v>
      </c>
      <c r="C9" s="11"/>
      <c r="D9" s="11" t="str">
        <f t="shared" si="0"/>
        <v/>
      </c>
      <c r="E9" s="11" t="str">
        <f t="shared" si="1"/>
        <v/>
      </c>
      <c r="F9" s="11" t="str">
        <f t="shared" si="2"/>
        <v/>
      </c>
      <c r="G9" s="2"/>
      <c r="H9" s="2"/>
    </row>
    <row r="10" spans="1:8">
      <c r="A10" s="2">
        <v>7</v>
      </c>
      <c r="B10" s="2" t="s">
        <v>40</v>
      </c>
      <c r="C10" s="11"/>
      <c r="D10" s="11" t="str">
        <f t="shared" si="0"/>
        <v/>
      </c>
      <c r="E10" s="11" t="str">
        <f t="shared" si="1"/>
        <v/>
      </c>
      <c r="F10" s="11" t="str">
        <f t="shared" si="2"/>
        <v/>
      </c>
      <c r="G10" s="2"/>
      <c r="H10" s="2"/>
    </row>
    <row r="11" spans="1:8">
      <c r="A11" s="2">
        <v>8</v>
      </c>
      <c r="B11" s="2" t="s">
        <v>43</v>
      </c>
      <c r="C11" s="11"/>
      <c r="D11" s="11" t="str">
        <f t="shared" si="0"/>
        <v/>
      </c>
      <c r="E11" s="11" t="str">
        <f t="shared" si="1"/>
        <v/>
      </c>
      <c r="F11" s="11" t="str">
        <f t="shared" si="2"/>
        <v/>
      </c>
      <c r="G11" s="2"/>
      <c r="H11" s="2"/>
    </row>
    <row r="12" spans="1:8">
      <c r="A12" s="2">
        <v>9</v>
      </c>
      <c r="B12" s="2" t="s">
        <v>46</v>
      </c>
      <c r="C12" s="11"/>
      <c r="D12" s="11" t="str">
        <f t="shared" si="0"/>
        <v/>
      </c>
      <c r="E12" s="11" t="str">
        <f t="shared" si="1"/>
        <v/>
      </c>
      <c r="F12" s="11" t="str">
        <f t="shared" si="2"/>
        <v/>
      </c>
      <c r="G12" s="2"/>
      <c r="H12" s="2"/>
    </row>
    <row r="13" spans="1:8">
      <c r="A13" s="2">
        <v>10</v>
      </c>
      <c r="B13" s="2" t="s">
        <v>49</v>
      </c>
      <c r="C13" s="11"/>
      <c r="D13" s="11" t="str">
        <f t="shared" si="0"/>
        <v/>
      </c>
      <c r="E13" s="11" t="str">
        <f t="shared" si="1"/>
        <v/>
      </c>
      <c r="F13" s="11" t="str">
        <f t="shared" si="2"/>
        <v/>
      </c>
      <c r="G13" s="2"/>
      <c r="H13" s="2"/>
    </row>
    <row r="14" spans="1:8">
      <c r="A14" s="2">
        <v>11</v>
      </c>
      <c r="B14" s="2" t="s">
        <v>53</v>
      </c>
      <c r="C14" s="11"/>
      <c r="D14" s="11" t="str">
        <f t="shared" si="0"/>
        <v/>
      </c>
      <c r="E14" s="11" t="str">
        <f t="shared" si="1"/>
        <v/>
      </c>
      <c r="F14" s="11" t="str">
        <f t="shared" si="2"/>
        <v/>
      </c>
      <c r="G14" s="2"/>
      <c r="H14" s="2"/>
    </row>
    <row r="15" spans="1:8">
      <c r="A15" s="2">
        <v>12</v>
      </c>
      <c r="B15" s="2" t="s">
        <v>56</v>
      </c>
      <c r="C15" s="11"/>
      <c r="D15" s="11" t="str">
        <f t="shared" si="0"/>
        <v/>
      </c>
      <c r="E15" s="11" t="str">
        <f t="shared" si="1"/>
        <v/>
      </c>
      <c r="F15" s="11" t="str">
        <f t="shared" si="2"/>
        <v/>
      </c>
      <c r="G15" s="2"/>
      <c r="H15" s="2"/>
    </row>
    <row r="16" spans="1:8">
      <c r="A16" s="2">
        <v>13</v>
      </c>
      <c r="B16" s="2" t="s">
        <v>59</v>
      </c>
      <c r="C16" s="11"/>
      <c r="D16" s="11" t="str">
        <f t="shared" si="0"/>
        <v/>
      </c>
      <c r="E16" s="11" t="str">
        <f t="shared" si="1"/>
        <v/>
      </c>
      <c r="F16" s="11" t="str">
        <f t="shared" si="2"/>
        <v/>
      </c>
      <c r="G16" s="2"/>
      <c r="H16" s="2"/>
    </row>
    <row r="17" spans="1:8">
      <c r="A17" s="2">
        <v>14</v>
      </c>
      <c r="B17" s="2" t="s">
        <v>62</v>
      </c>
      <c r="C17" s="11"/>
      <c r="D17" s="11" t="str">
        <f t="shared" si="0"/>
        <v/>
      </c>
      <c r="E17" s="11" t="str">
        <f t="shared" si="1"/>
        <v/>
      </c>
      <c r="F17" s="11" t="str">
        <f t="shared" si="2"/>
        <v/>
      </c>
      <c r="G17" s="2"/>
      <c r="H17" s="2"/>
    </row>
    <row r="18" spans="1:8" ht="30">
      <c r="A18" s="2">
        <v>15</v>
      </c>
      <c r="B18" s="2" t="s">
        <v>65</v>
      </c>
      <c r="C18" s="11"/>
      <c r="D18" s="11" t="str">
        <f t="shared" si="0"/>
        <v/>
      </c>
      <c r="E18" s="11" t="str">
        <f t="shared" si="1"/>
        <v/>
      </c>
      <c r="F18" s="11" t="str">
        <f t="shared" si="2"/>
        <v/>
      </c>
      <c r="G18" s="2"/>
      <c r="H18" s="2"/>
    </row>
    <row r="19" spans="1:8">
      <c r="A19" s="2">
        <v>16</v>
      </c>
      <c r="B19" s="2" t="s">
        <v>69</v>
      </c>
      <c r="C19" s="11"/>
      <c r="D19" s="11" t="str">
        <f t="shared" si="0"/>
        <v/>
      </c>
      <c r="E19" s="11" t="str">
        <f t="shared" si="1"/>
        <v/>
      </c>
      <c r="F19" s="11" t="str">
        <f t="shared" si="2"/>
        <v/>
      </c>
      <c r="G19" s="2"/>
      <c r="H19" s="2"/>
    </row>
    <row r="20" spans="1:8">
      <c r="A20" s="2">
        <v>17</v>
      </c>
      <c r="B20" s="2" t="s">
        <v>72</v>
      </c>
      <c r="C20" s="11"/>
      <c r="D20" s="11" t="str">
        <f t="shared" si="0"/>
        <v/>
      </c>
      <c r="E20" s="11" t="str">
        <f t="shared" si="1"/>
        <v/>
      </c>
      <c r="F20" s="11" t="str">
        <f t="shared" si="2"/>
        <v/>
      </c>
      <c r="G20" s="2"/>
      <c r="H20" s="2"/>
    </row>
    <row r="21" spans="1:8">
      <c r="A21" s="2">
        <v>18</v>
      </c>
      <c r="B21" s="2" t="s">
        <v>75</v>
      </c>
      <c r="C21" s="11"/>
      <c r="D21" s="11" t="str">
        <f t="shared" si="0"/>
        <v/>
      </c>
      <c r="E21" s="11" t="str">
        <f t="shared" si="1"/>
        <v/>
      </c>
      <c r="F21" s="11" t="str">
        <f t="shared" si="2"/>
        <v/>
      </c>
      <c r="G21" s="2"/>
      <c r="H21" s="2"/>
    </row>
    <row r="22" spans="1:8">
      <c r="A22" s="2">
        <v>19</v>
      </c>
      <c r="B22" s="2" t="s">
        <v>78</v>
      </c>
      <c r="C22" s="11"/>
      <c r="D22" s="11" t="str">
        <f t="shared" si="0"/>
        <v/>
      </c>
      <c r="E22" s="11" t="str">
        <f t="shared" si="1"/>
        <v/>
      </c>
      <c r="F22" s="11" t="str">
        <f t="shared" si="2"/>
        <v/>
      </c>
      <c r="G22" s="2"/>
      <c r="H22" s="2"/>
    </row>
    <row r="23" spans="1:8">
      <c r="A23" s="2">
        <v>20</v>
      </c>
      <c r="B23" s="2" t="s">
        <v>82</v>
      </c>
      <c r="C23" s="11"/>
      <c r="D23" s="11" t="str">
        <f t="shared" si="0"/>
        <v/>
      </c>
      <c r="E23" s="11" t="str">
        <f t="shared" si="1"/>
        <v/>
      </c>
      <c r="F23" s="11" t="str">
        <f t="shared" si="2"/>
        <v/>
      </c>
      <c r="G23" s="2"/>
      <c r="H23" s="2"/>
    </row>
    <row r="24" spans="1:8">
      <c r="A24" s="2">
        <v>21</v>
      </c>
      <c r="B24" s="2" t="s">
        <v>85</v>
      </c>
      <c r="C24" s="11"/>
      <c r="D24" s="11" t="str">
        <f t="shared" si="0"/>
        <v/>
      </c>
      <c r="E24" s="11" t="str">
        <f t="shared" si="1"/>
        <v/>
      </c>
      <c r="F24" s="11" t="str">
        <f t="shared" si="2"/>
        <v/>
      </c>
      <c r="G24" s="2"/>
      <c r="H24" s="2"/>
    </row>
    <row r="25" spans="1:8">
      <c r="A25" s="2">
        <v>22</v>
      </c>
      <c r="B25" s="2" t="s">
        <v>88</v>
      </c>
      <c r="C25" s="11"/>
      <c r="D25" s="11" t="str">
        <f t="shared" si="0"/>
        <v/>
      </c>
      <c r="E25" s="11" t="str">
        <f t="shared" si="1"/>
        <v/>
      </c>
      <c r="F25" s="11" t="str">
        <f t="shared" si="2"/>
        <v/>
      </c>
      <c r="G25" s="2"/>
      <c r="H25" s="2"/>
    </row>
    <row r="26" spans="1:8">
      <c r="A26" s="2">
        <v>23</v>
      </c>
      <c r="B26" s="2" t="s">
        <v>91</v>
      </c>
      <c r="C26" s="11"/>
      <c r="D26" s="11" t="str">
        <f t="shared" si="0"/>
        <v/>
      </c>
      <c r="E26" s="11" t="str">
        <f t="shared" si="1"/>
        <v/>
      </c>
      <c r="F26" s="11" t="str">
        <f t="shared" si="2"/>
        <v/>
      </c>
      <c r="G26" s="2"/>
      <c r="H26" s="2"/>
    </row>
    <row r="27" spans="1:8">
      <c r="A27" s="2">
        <v>24</v>
      </c>
      <c r="B27" s="2" t="s">
        <v>94</v>
      </c>
      <c r="C27" s="11"/>
      <c r="D27" s="11" t="str">
        <f t="shared" si="0"/>
        <v/>
      </c>
      <c r="E27" s="11" t="str">
        <f t="shared" si="1"/>
        <v/>
      </c>
      <c r="F27" s="11" t="str">
        <f t="shared" si="2"/>
        <v/>
      </c>
      <c r="G27" s="2"/>
      <c r="H27" s="2"/>
    </row>
    <row r="28" spans="1:8">
      <c r="A28" s="2">
        <v>25</v>
      </c>
      <c r="B28" s="2" t="s">
        <v>99</v>
      </c>
      <c r="C28" s="11"/>
      <c r="D28" s="11" t="str">
        <f t="shared" si="0"/>
        <v/>
      </c>
      <c r="E28" s="11" t="str">
        <f t="shared" si="1"/>
        <v/>
      </c>
      <c r="F28" s="11" t="str">
        <f t="shared" si="2"/>
        <v/>
      </c>
      <c r="G28" s="2"/>
      <c r="H28" s="2"/>
    </row>
    <row r="29" spans="1:8">
      <c r="A29" s="2">
        <v>26</v>
      </c>
      <c r="B29" s="2" t="s">
        <v>102</v>
      </c>
      <c r="C29" s="11"/>
      <c r="D29" s="11" t="str">
        <f t="shared" si="0"/>
        <v/>
      </c>
      <c r="E29" s="11" t="str">
        <f t="shared" si="1"/>
        <v/>
      </c>
      <c r="F29" s="11" t="str">
        <f t="shared" si="2"/>
        <v/>
      </c>
      <c r="G29" s="2"/>
      <c r="H29" s="2"/>
    </row>
    <row r="30" spans="1:8">
      <c r="A30" s="2">
        <v>27</v>
      </c>
      <c r="B30" s="2" t="s">
        <v>105</v>
      </c>
      <c r="C30" s="11"/>
      <c r="D30" s="11" t="str">
        <f t="shared" si="0"/>
        <v/>
      </c>
      <c r="E30" s="11" t="str">
        <f t="shared" si="1"/>
        <v/>
      </c>
      <c r="F30" s="11" t="str">
        <f t="shared" si="2"/>
        <v/>
      </c>
      <c r="G30" s="2"/>
      <c r="H30" s="2"/>
    </row>
    <row r="31" spans="1:8">
      <c r="A31" s="2">
        <v>28</v>
      </c>
      <c r="B31" s="2" t="s">
        <v>108</v>
      </c>
      <c r="C31" s="11"/>
      <c r="D31" s="11" t="str">
        <f t="shared" si="0"/>
        <v/>
      </c>
      <c r="E31" s="11" t="str">
        <f t="shared" si="1"/>
        <v/>
      </c>
      <c r="F31" s="11" t="str">
        <f t="shared" si="2"/>
        <v/>
      </c>
      <c r="G31" s="2"/>
      <c r="H31" s="2"/>
    </row>
    <row r="32" spans="1:8">
      <c r="A32" s="2">
        <v>29</v>
      </c>
      <c r="B32" s="2" t="s">
        <v>111</v>
      </c>
      <c r="C32" s="11"/>
      <c r="D32" s="11" t="str">
        <f t="shared" si="0"/>
        <v/>
      </c>
      <c r="E32" s="11" t="str">
        <f t="shared" si="1"/>
        <v/>
      </c>
      <c r="F32" s="11" t="str">
        <f t="shared" si="2"/>
        <v/>
      </c>
      <c r="G32" s="2"/>
      <c r="H32" s="2"/>
    </row>
    <row r="33" spans="1:8">
      <c r="A33" s="2">
        <v>30</v>
      </c>
      <c r="B33" s="2" t="s">
        <v>114</v>
      </c>
      <c r="C33" s="11"/>
      <c r="D33" s="11" t="str">
        <f t="shared" si="0"/>
        <v/>
      </c>
      <c r="E33" s="11" t="str">
        <f t="shared" si="1"/>
        <v/>
      </c>
      <c r="F33" s="11" t="str">
        <f t="shared" si="2"/>
        <v/>
      </c>
      <c r="G33" s="2"/>
      <c r="H33" s="2"/>
    </row>
    <row r="34" spans="1:8">
      <c r="A34" s="2">
        <v>31</v>
      </c>
      <c r="B34" s="2" t="s">
        <v>117</v>
      </c>
      <c r="C34" s="11"/>
      <c r="D34" s="11" t="str">
        <f t="shared" si="0"/>
        <v/>
      </c>
      <c r="E34" s="11" t="str">
        <f t="shared" si="1"/>
        <v/>
      </c>
      <c r="F34" s="11" t="str">
        <f t="shared" si="2"/>
        <v/>
      </c>
      <c r="G34" s="2"/>
      <c r="H34" s="2"/>
    </row>
    <row r="35" spans="1:8">
      <c r="A35" s="2">
        <v>32</v>
      </c>
      <c r="B35" s="2" t="s">
        <v>119</v>
      </c>
      <c r="C35" s="11"/>
      <c r="D35" s="11" t="str">
        <f t="shared" si="0"/>
        <v/>
      </c>
      <c r="E35" s="11" t="str">
        <f t="shared" si="1"/>
        <v/>
      </c>
      <c r="F35" s="11" t="str">
        <f t="shared" si="2"/>
        <v/>
      </c>
      <c r="G35" s="2"/>
      <c r="H35" s="2"/>
    </row>
    <row r="36" spans="1:8">
      <c r="A36" s="2">
        <v>33</v>
      </c>
      <c r="B36" s="2" t="s">
        <v>122</v>
      </c>
      <c r="C36" s="11"/>
      <c r="D36" s="11" t="str">
        <f t="shared" ref="D36:D67" si="3">IF(C36="","",C36+1)</f>
        <v/>
      </c>
      <c r="E36" s="11" t="str">
        <f t="shared" ref="E36:E70" si="4">IF(C36="","",C36+7)</f>
        <v/>
      </c>
      <c r="F36" s="11" t="str">
        <f t="shared" ref="F36:F70" si="5">IF(C36="","",C36+30)</f>
        <v/>
      </c>
      <c r="G36" s="2"/>
      <c r="H36" s="2"/>
    </row>
    <row r="37" spans="1:8">
      <c r="A37" s="2">
        <v>34</v>
      </c>
      <c r="B37" s="2" t="s">
        <v>125</v>
      </c>
      <c r="C37" s="11"/>
      <c r="D37" s="11" t="str">
        <f t="shared" si="3"/>
        <v/>
      </c>
      <c r="E37" s="11" t="str">
        <f t="shared" si="4"/>
        <v/>
      </c>
      <c r="F37" s="11" t="str">
        <f t="shared" si="5"/>
        <v/>
      </c>
      <c r="G37" s="2"/>
      <c r="H37" s="2"/>
    </row>
    <row r="38" spans="1:8">
      <c r="A38" s="2">
        <v>35</v>
      </c>
      <c r="B38" s="2" t="s">
        <v>128</v>
      </c>
      <c r="C38" s="11"/>
      <c r="D38" s="11" t="str">
        <f t="shared" si="3"/>
        <v/>
      </c>
      <c r="E38" s="11" t="str">
        <f t="shared" si="4"/>
        <v/>
      </c>
      <c r="F38" s="11" t="str">
        <f t="shared" si="5"/>
        <v/>
      </c>
      <c r="G38" s="2"/>
      <c r="H38" s="2"/>
    </row>
    <row r="39" spans="1:8">
      <c r="A39" s="2">
        <v>36</v>
      </c>
      <c r="B39" s="2" t="s">
        <v>131</v>
      </c>
      <c r="C39" s="11"/>
      <c r="D39" s="11" t="str">
        <f t="shared" si="3"/>
        <v/>
      </c>
      <c r="E39" s="11" t="str">
        <f t="shared" si="4"/>
        <v/>
      </c>
      <c r="F39" s="11" t="str">
        <f t="shared" si="5"/>
        <v/>
      </c>
      <c r="G39" s="2"/>
      <c r="H39" s="2"/>
    </row>
    <row r="40" spans="1:8">
      <c r="A40" s="2">
        <v>37</v>
      </c>
      <c r="B40" s="2" t="s">
        <v>135</v>
      </c>
      <c r="C40" s="11"/>
      <c r="D40" s="11" t="str">
        <f t="shared" si="3"/>
        <v/>
      </c>
      <c r="E40" s="11" t="str">
        <f t="shared" si="4"/>
        <v/>
      </c>
      <c r="F40" s="11" t="str">
        <f t="shared" si="5"/>
        <v/>
      </c>
      <c r="G40" s="2"/>
      <c r="H40" s="2"/>
    </row>
    <row r="41" spans="1:8">
      <c r="A41" s="2">
        <v>38</v>
      </c>
      <c r="B41" s="2" t="s">
        <v>138</v>
      </c>
      <c r="C41" s="11"/>
      <c r="D41" s="11" t="str">
        <f t="shared" si="3"/>
        <v/>
      </c>
      <c r="E41" s="11" t="str">
        <f t="shared" si="4"/>
        <v/>
      </c>
      <c r="F41" s="11" t="str">
        <f t="shared" si="5"/>
        <v/>
      </c>
      <c r="G41" s="2"/>
      <c r="H41" s="2"/>
    </row>
    <row r="42" spans="1:8">
      <c r="A42" s="2">
        <v>39</v>
      </c>
      <c r="B42" s="2" t="s">
        <v>141</v>
      </c>
      <c r="C42" s="11"/>
      <c r="D42" s="11" t="str">
        <f t="shared" si="3"/>
        <v/>
      </c>
      <c r="E42" s="11" t="str">
        <f t="shared" si="4"/>
        <v/>
      </c>
      <c r="F42" s="11" t="str">
        <f t="shared" si="5"/>
        <v/>
      </c>
      <c r="G42" s="2"/>
      <c r="H42" s="2"/>
    </row>
    <row r="43" spans="1:8">
      <c r="A43" s="2">
        <v>40</v>
      </c>
      <c r="B43" s="2" t="s">
        <v>144</v>
      </c>
      <c r="C43" s="11"/>
      <c r="D43" s="11" t="str">
        <f t="shared" si="3"/>
        <v/>
      </c>
      <c r="E43" s="11" t="str">
        <f t="shared" si="4"/>
        <v/>
      </c>
      <c r="F43" s="11" t="str">
        <f t="shared" si="5"/>
        <v/>
      </c>
      <c r="G43" s="2"/>
      <c r="H43" s="2"/>
    </row>
    <row r="44" spans="1:8">
      <c r="A44" s="2">
        <v>41</v>
      </c>
      <c r="B44" s="2" t="s">
        <v>146</v>
      </c>
      <c r="C44" s="11"/>
      <c r="D44" s="11" t="str">
        <f t="shared" si="3"/>
        <v/>
      </c>
      <c r="E44" s="11" t="str">
        <f t="shared" si="4"/>
        <v/>
      </c>
      <c r="F44" s="11" t="str">
        <f t="shared" si="5"/>
        <v/>
      </c>
      <c r="G44" s="2"/>
      <c r="H44" s="2"/>
    </row>
    <row r="45" spans="1:8">
      <c r="A45" s="2">
        <v>42</v>
      </c>
      <c r="B45" s="2" t="s">
        <v>148</v>
      </c>
      <c r="C45" s="11"/>
      <c r="D45" s="11" t="str">
        <f t="shared" si="3"/>
        <v/>
      </c>
      <c r="E45" s="11" t="str">
        <f t="shared" si="4"/>
        <v/>
      </c>
      <c r="F45" s="11" t="str">
        <f t="shared" si="5"/>
        <v/>
      </c>
      <c r="G45" s="2"/>
      <c r="H45" s="2"/>
    </row>
    <row r="46" spans="1:8">
      <c r="A46" s="2">
        <v>43</v>
      </c>
      <c r="B46" s="2" t="s">
        <v>150</v>
      </c>
      <c r="C46" s="11"/>
      <c r="D46" s="11" t="str">
        <f t="shared" si="3"/>
        <v/>
      </c>
      <c r="E46" s="11" t="str">
        <f t="shared" si="4"/>
        <v/>
      </c>
      <c r="F46" s="11" t="str">
        <f t="shared" si="5"/>
        <v/>
      </c>
      <c r="G46" s="2"/>
      <c r="H46" s="2"/>
    </row>
    <row r="47" spans="1:8">
      <c r="A47" s="2">
        <v>44</v>
      </c>
      <c r="B47" s="2" t="s">
        <v>153</v>
      </c>
      <c r="C47" s="11"/>
      <c r="D47" s="11" t="str">
        <f t="shared" si="3"/>
        <v/>
      </c>
      <c r="E47" s="11" t="str">
        <f t="shared" si="4"/>
        <v/>
      </c>
      <c r="F47" s="11" t="str">
        <f t="shared" si="5"/>
        <v/>
      </c>
      <c r="G47" s="2"/>
      <c r="H47" s="2"/>
    </row>
    <row r="48" spans="1:8">
      <c r="A48" s="2">
        <v>45</v>
      </c>
      <c r="B48" s="2" t="s">
        <v>155</v>
      </c>
      <c r="C48" s="11"/>
      <c r="D48" s="11" t="str">
        <f t="shared" si="3"/>
        <v/>
      </c>
      <c r="E48" s="11" t="str">
        <f t="shared" si="4"/>
        <v/>
      </c>
      <c r="F48" s="11" t="str">
        <f t="shared" si="5"/>
        <v/>
      </c>
      <c r="G48" s="2"/>
      <c r="H48" s="2"/>
    </row>
    <row r="49" spans="1:8">
      <c r="A49" s="2">
        <v>46</v>
      </c>
      <c r="B49" s="2" t="s">
        <v>158</v>
      </c>
      <c r="C49" s="11"/>
      <c r="D49" s="11" t="str">
        <f t="shared" si="3"/>
        <v/>
      </c>
      <c r="E49" s="11" t="str">
        <f t="shared" si="4"/>
        <v/>
      </c>
      <c r="F49" s="11" t="str">
        <f t="shared" si="5"/>
        <v/>
      </c>
      <c r="G49" s="2"/>
      <c r="H49" s="2"/>
    </row>
    <row r="50" spans="1:8">
      <c r="A50" s="2">
        <v>47</v>
      </c>
      <c r="B50" s="2" t="s">
        <v>161</v>
      </c>
      <c r="C50" s="11"/>
      <c r="D50" s="11" t="str">
        <f t="shared" si="3"/>
        <v/>
      </c>
      <c r="E50" s="11" t="str">
        <f t="shared" si="4"/>
        <v/>
      </c>
      <c r="F50" s="11" t="str">
        <f t="shared" si="5"/>
        <v/>
      </c>
      <c r="G50" s="2"/>
      <c r="H50" s="2"/>
    </row>
    <row r="51" spans="1:8">
      <c r="A51" s="2">
        <v>48</v>
      </c>
      <c r="B51" s="2" t="s">
        <v>164</v>
      </c>
      <c r="C51" s="11"/>
      <c r="D51" s="11" t="str">
        <f t="shared" si="3"/>
        <v/>
      </c>
      <c r="E51" s="11" t="str">
        <f t="shared" si="4"/>
        <v/>
      </c>
      <c r="F51" s="11" t="str">
        <f t="shared" si="5"/>
        <v/>
      </c>
      <c r="G51" s="2"/>
      <c r="H51" s="2"/>
    </row>
    <row r="52" spans="1:8">
      <c r="A52" s="2">
        <v>49</v>
      </c>
      <c r="B52" s="2" t="s">
        <v>167</v>
      </c>
      <c r="C52" s="11"/>
      <c r="D52" s="11" t="str">
        <f t="shared" si="3"/>
        <v/>
      </c>
      <c r="E52" s="11" t="str">
        <f t="shared" si="4"/>
        <v/>
      </c>
      <c r="F52" s="11" t="str">
        <f t="shared" si="5"/>
        <v/>
      </c>
      <c r="G52" s="2"/>
      <c r="H52" s="2"/>
    </row>
    <row r="53" spans="1:8">
      <c r="A53" s="2">
        <v>50</v>
      </c>
      <c r="B53" s="2" t="s">
        <v>171</v>
      </c>
      <c r="C53" s="11"/>
      <c r="D53" s="11" t="str">
        <f t="shared" si="3"/>
        <v/>
      </c>
      <c r="E53" s="11" t="str">
        <f t="shared" si="4"/>
        <v/>
      </c>
      <c r="F53" s="11" t="str">
        <f t="shared" si="5"/>
        <v/>
      </c>
      <c r="G53" s="2"/>
      <c r="H53" s="2"/>
    </row>
    <row r="54" spans="1:8">
      <c r="A54" s="2">
        <v>51</v>
      </c>
      <c r="B54" s="2" t="s">
        <v>174</v>
      </c>
      <c r="C54" s="11"/>
      <c r="D54" s="11" t="str">
        <f t="shared" si="3"/>
        <v/>
      </c>
      <c r="E54" s="11" t="str">
        <f t="shared" si="4"/>
        <v/>
      </c>
      <c r="F54" s="11" t="str">
        <f t="shared" si="5"/>
        <v/>
      </c>
      <c r="G54" s="2"/>
      <c r="H54" s="2"/>
    </row>
    <row r="55" spans="1:8">
      <c r="A55" s="2">
        <v>52</v>
      </c>
      <c r="B55" s="2" t="s">
        <v>177</v>
      </c>
      <c r="C55" s="11"/>
      <c r="D55" s="11" t="str">
        <f t="shared" si="3"/>
        <v/>
      </c>
      <c r="E55" s="11" t="str">
        <f t="shared" si="4"/>
        <v/>
      </c>
      <c r="F55" s="11" t="str">
        <f t="shared" si="5"/>
        <v/>
      </c>
      <c r="G55" s="2"/>
      <c r="H55" s="2"/>
    </row>
    <row r="56" spans="1:8">
      <c r="A56" s="2">
        <v>53</v>
      </c>
      <c r="B56" s="2" t="s">
        <v>180</v>
      </c>
      <c r="C56" s="11"/>
      <c r="D56" s="11" t="str">
        <f t="shared" si="3"/>
        <v/>
      </c>
      <c r="E56" s="11" t="str">
        <f t="shared" si="4"/>
        <v/>
      </c>
      <c r="F56" s="11" t="str">
        <f t="shared" si="5"/>
        <v/>
      </c>
      <c r="G56" s="2"/>
      <c r="H56" s="2"/>
    </row>
    <row r="57" spans="1:8">
      <c r="A57" s="2">
        <v>54</v>
      </c>
      <c r="B57" s="2" t="s">
        <v>183</v>
      </c>
      <c r="C57" s="11"/>
      <c r="D57" s="11" t="str">
        <f t="shared" si="3"/>
        <v/>
      </c>
      <c r="E57" s="11" t="str">
        <f t="shared" si="4"/>
        <v/>
      </c>
      <c r="F57" s="11" t="str">
        <f t="shared" si="5"/>
        <v/>
      </c>
      <c r="G57" s="2"/>
      <c r="H57" s="2"/>
    </row>
    <row r="58" spans="1:8">
      <c r="A58" s="2">
        <v>55</v>
      </c>
      <c r="B58" s="2" t="s">
        <v>185</v>
      </c>
      <c r="C58" s="11"/>
      <c r="D58" s="11" t="str">
        <f t="shared" si="3"/>
        <v/>
      </c>
      <c r="E58" s="11" t="str">
        <f t="shared" si="4"/>
        <v/>
      </c>
      <c r="F58" s="11" t="str">
        <f t="shared" si="5"/>
        <v/>
      </c>
      <c r="G58" s="2"/>
      <c r="H58" s="2"/>
    </row>
    <row r="59" spans="1:8">
      <c r="A59" s="2">
        <v>56</v>
      </c>
      <c r="B59" s="2" t="s">
        <v>188</v>
      </c>
      <c r="C59" s="11"/>
      <c r="D59" s="11" t="str">
        <f t="shared" si="3"/>
        <v/>
      </c>
      <c r="E59" s="11" t="str">
        <f t="shared" si="4"/>
        <v/>
      </c>
      <c r="F59" s="11" t="str">
        <f t="shared" si="5"/>
        <v/>
      </c>
      <c r="G59" s="2"/>
      <c r="H59" s="2"/>
    </row>
    <row r="60" spans="1:8">
      <c r="A60" s="2">
        <v>57</v>
      </c>
      <c r="B60" s="2" t="s">
        <v>190</v>
      </c>
      <c r="C60" s="11"/>
      <c r="D60" s="11" t="str">
        <f t="shared" si="3"/>
        <v/>
      </c>
      <c r="E60" s="11" t="str">
        <f t="shared" si="4"/>
        <v/>
      </c>
      <c r="F60" s="11" t="str">
        <f t="shared" si="5"/>
        <v/>
      </c>
      <c r="G60" s="2"/>
      <c r="H60" s="2"/>
    </row>
    <row r="61" spans="1:8">
      <c r="A61" s="2">
        <v>58</v>
      </c>
      <c r="B61" s="2" t="s">
        <v>193</v>
      </c>
      <c r="C61" s="11"/>
      <c r="D61" s="11" t="str">
        <f t="shared" si="3"/>
        <v/>
      </c>
      <c r="E61" s="11" t="str">
        <f t="shared" si="4"/>
        <v/>
      </c>
      <c r="F61" s="11" t="str">
        <f t="shared" si="5"/>
        <v/>
      </c>
      <c r="G61" s="2"/>
      <c r="H61" s="2"/>
    </row>
    <row r="62" spans="1:8">
      <c r="A62" s="2">
        <v>59</v>
      </c>
      <c r="B62" s="2" t="s">
        <v>196</v>
      </c>
      <c r="C62" s="11"/>
      <c r="D62" s="11" t="str">
        <f t="shared" si="3"/>
        <v/>
      </c>
      <c r="E62" s="11" t="str">
        <f t="shared" si="4"/>
        <v/>
      </c>
      <c r="F62" s="11" t="str">
        <f t="shared" si="5"/>
        <v/>
      </c>
      <c r="G62" s="2"/>
      <c r="H62" s="2"/>
    </row>
    <row r="63" spans="1:8">
      <c r="A63" s="2">
        <v>60</v>
      </c>
      <c r="B63" s="2" t="s">
        <v>200</v>
      </c>
      <c r="C63" s="11"/>
      <c r="D63" s="11" t="str">
        <f t="shared" si="3"/>
        <v/>
      </c>
      <c r="E63" s="11" t="str">
        <f t="shared" si="4"/>
        <v/>
      </c>
      <c r="F63" s="11" t="str">
        <f t="shared" si="5"/>
        <v/>
      </c>
      <c r="G63" s="2"/>
      <c r="H63" s="2"/>
    </row>
    <row r="64" spans="1:8">
      <c r="A64" s="2">
        <v>61</v>
      </c>
      <c r="B64" s="2" t="s">
        <v>203</v>
      </c>
      <c r="C64" s="11"/>
      <c r="D64" s="11" t="str">
        <f t="shared" si="3"/>
        <v/>
      </c>
      <c r="E64" s="11" t="str">
        <f t="shared" si="4"/>
        <v/>
      </c>
      <c r="F64" s="11" t="str">
        <f t="shared" si="5"/>
        <v/>
      </c>
      <c r="G64" s="2"/>
      <c r="H64" s="2"/>
    </row>
    <row r="65" spans="1:8">
      <c r="A65" s="2">
        <v>62</v>
      </c>
      <c r="B65" s="2" t="s">
        <v>206</v>
      </c>
      <c r="C65" s="11"/>
      <c r="D65" s="11" t="str">
        <f t="shared" si="3"/>
        <v/>
      </c>
      <c r="E65" s="11" t="str">
        <f t="shared" si="4"/>
        <v/>
      </c>
      <c r="F65" s="11" t="str">
        <f t="shared" si="5"/>
        <v/>
      </c>
      <c r="G65" s="2"/>
      <c r="H65" s="2"/>
    </row>
    <row r="66" spans="1:8">
      <c r="A66" s="2">
        <v>63</v>
      </c>
      <c r="B66" s="2" t="s">
        <v>209</v>
      </c>
      <c r="C66" s="11"/>
      <c r="D66" s="11" t="str">
        <f t="shared" si="3"/>
        <v/>
      </c>
      <c r="E66" s="11" t="str">
        <f t="shared" si="4"/>
        <v/>
      </c>
      <c r="F66" s="11" t="str">
        <f t="shared" si="5"/>
        <v/>
      </c>
      <c r="G66" s="2"/>
      <c r="H66" s="2"/>
    </row>
    <row r="67" spans="1:8">
      <c r="A67" s="2">
        <v>64</v>
      </c>
      <c r="B67" s="2" t="s">
        <v>211</v>
      </c>
      <c r="C67" s="11"/>
      <c r="D67" s="11" t="str">
        <f t="shared" si="3"/>
        <v/>
      </c>
      <c r="E67" s="11" t="str">
        <f t="shared" si="4"/>
        <v/>
      </c>
      <c r="F67" s="11" t="str">
        <f t="shared" si="5"/>
        <v/>
      </c>
      <c r="G67" s="2"/>
      <c r="H67" s="2"/>
    </row>
    <row r="68" spans="1:8">
      <c r="A68" s="2">
        <v>65</v>
      </c>
      <c r="B68" s="2" t="s">
        <v>214</v>
      </c>
      <c r="C68" s="11"/>
      <c r="D68" s="11" t="str">
        <f>IF(C68="","",C68+1)</f>
        <v/>
      </c>
      <c r="E68" s="11" t="str">
        <f t="shared" si="4"/>
        <v/>
      </c>
      <c r="F68" s="11" t="str">
        <f t="shared" si="5"/>
        <v/>
      </c>
      <c r="G68" s="2"/>
      <c r="H68" s="2"/>
    </row>
    <row r="69" spans="1:8">
      <c r="A69" s="2">
        <v>66</v>
      </c>
      <c r="B69" s="2" t="s">
        <v>216</v>
      </c>
      <c r="C69" s="11"/>
      <c r="D69" s="11" t="str">
        <f>IF(C69="","",C69+1)</f>
        <v/>
      </c>
      <c r="E69" s="11" t="str">
        <f t="shared" si="4"/>
        <v/>
      </c>
      <c r="F69" s="11" t="str">
        <f t="shared" si="5"/>
        <v/>
      </c>
      <c r="G69" s="2"/>
      <c r="H69" s="2"/>
    </row>
    <row r="70" spans="1:8">
      <c r="A70" s="2">
        <v>67</v>
      </c>
      <c r="B70" s="2" t="s">
        <v>218</v>
      </c>
      <c r="C70" s="11"/>
      <c r="D70" s="11" t="str">
        <f>IF(C70="","",C70+1)</f>
        <v/>
      </c>
      <c r="E70" s="11" t="str">
        <f t="shared" si="4"/>
        <v/>
      </c>
      <c r="F70" s="11" t="str">
        <f t="shared" si="5"/>
        <v/>
      </c>
      <c r="G70" s="2"/>
      <c r="H70" s="2"/>
    </row>
  </sheetData>
  <mergeCells count="1">
    <mergeCell ref="A1:H1"/>
  </mergeCells>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dimension ref="A1:J10"/>
  <sheetViews>
    <sheetView showGridLines="0" workbookViewId="0">
      <selection sqref="A1:J1"/>
    </sheetView>
  </sheetViews>
  <sheetFormatPr defaultRowHeight="15"/>
  <cols>
    <col min="1" max="1" width="15" customWidth="1"/>
    <col min="2" max="2" width="32" customWidth="1"/>
    <col min="3" max="3" width="40" customWidth="1"/>
    <col min="4" max="4" width="18" customWidth="1"/>
    <col min="5" max="5" width="15" customWidth="1"/>
    <col min="6" max="6" width="40" customWidth="1"/>
  </cols>
  <sheetData>
    <row r="1" spans="1:10" ht="19.5">
      <c r="A1" s="24" t="s">
        <v>245</v>
      </c>
      <c r="B1" s="22"/>
      <c r="C1" s="22"/>
      <c r="D1" s="22"/>
      <c r="E1" s="22"/>
      <c r="F1" s="22"/>
      <c r="G1" s="22"/>
      <c r="H1" s="22"/>
      <c r="I1" s="22"/>
      <c r="J1" s="22"/>
    </row>
    <row r="3" spans="1:10">
      <c r="A3" s="9" t="s">
        <v>246</v>
      </c>
      <c r="B3" s="9" t="s">
        <v>247</v>
      </c>
      <c r="C3" s="9" t="s">
        <v>248</v>
      </c>
      <c r="D3" s="9" t="s">
        <v>249</v>
      </c>
      <c r="E3" s="9" t="s">
        <v>250</v>
      </c>
      <c r="F3" s="9" t="s">
        <v>244</v>
      </c>
    </row>
    <row r="4" spans="1:10">
      <c r="A4" s="2" t="s">
        <v>251</v>
      </c>
      <c r="B4" s="2" t="s">
        <v>252</v>
      </c>
      <c r="C4" s="2" t="s">
        <v>253</v>
      </c>
      <c r="D4" s="2" t="s">
        <v>254</v>
      </c>
      <c r="E4" s="2"/>
      <c r="F4" s="2"/>
    </row>
    <row r="5" spans="1:10">
      <c r="A5" s="2" t="s">
        <v>255</v>
      </c>
      <c r="B5" s="2" t="s">
        <v>98</v>
      </c>
      <c r="C5" s="2" t="s">
        <v>253</v>
      </c>
      <c r="D5" s="2" t="s">
        <v>254</v>
      </c>
      <c r="E5" s="2"/>
      <c r="F5" s="2"/>
    </row>
    <row r="6" spans="1:10">
      <c r="A6" s="2" t="s">
        <v>256</v>
      </c>
      <c r="B6" s="2" t="s">
        <v>257</v>
      </c>
      <c r="C6" s="2" t="s">
        <v>258</v>
      </c>
      <c r="D6" s="2" t="s">
        <v>254</v>
      </c>
      <c r="E6" s="2"/>
      <c r="F6" s="2"/>
    </row>
    <row r="7" spans="1:10">
      <c r="A7" s="2" t="s">
        <v>259</v>
      </c>
      <c r="B7" s="2" t="s">
        <v>260</v>
      </c>
      <c r="C7" s="2" t="s">
        <v>261</v>
      </c>
      <c r="D7" s="2" t="s">
        <v>254</v>
      </c>
      <c r="E7" s="2"/>
      <c r="F7" s="2"/>
    </row>
    <row r="8" spans="1:10">
      <c r="A8" s="2" t="s">
        <v>262</v>
      </c>
      <c r="B8" s="2" t="s">
        <v>263</v>
      </c>
      <c r="C8" s="2" t="s">
        <v>253</v>
      </c>
      <c r="D8" s="2" t="s">
        <v>254</v>
      </c>
      <c r="E8" s="2"/>
      <c r="F8" s="2"/>
    </row>
    <row r="9" spans="1:10">
      <c r="A9" s="2" t="s">
        <v>264</v>
      </c>
      <c r="B9" s="2" t="s">
        <v>265</v>
      </c>
      <c r="C9" s="2" t="s">
        <v>266</v>
      </c>
      <c r="D9" s="2" t="s">
        <v>267</v>
      </c>
      <c r="E9" s="2"/>
      <c r="F9" s="2"/>
    </row>
    <row r="10" spans="1:10">
      <c r="A10" s="2" t="s">
        <v>268</v>
      </c>
      <c r="B10" s="2" t="s">
        <v>269</v>
      </c>
      <c r="C10" s="2" t="s">
        <v>270</v>
      </c>
      <c r="D10" s="2" t="s">
        <v>271</v>
      </c>
      <c r="E10" s="2"/>
      <c r="F10" s="2"/>
    </row>
  </sheetData>
  <mergeCells count="1">
    <mergeCell ref="A1:J1"/>
  </mergeCells>
  <dataValidations count="1">
    <dataValidation type="list" allowBlank="1" sqref="E4 E5 E6 E7 E8 E9 E10">
      <formula1>"Sim,Não"</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dimension ref="A1:F10"/>
  <sheetViews>
    <sheetView showGridLines="0" workbookViewId="0">
      <selection activeCell="C3" sqref="C3"/>
    </sheetView>
  </sheetViews>
  <sheetFormatPr defaultRowHeight="15"/>
  <cols>
    <col min="1" max="1" width="7" customWidth="1"/>
    <col min="2" max="2" width="25" customWidth="1"/>
    <col min="3" max="3" width="90" customWidth="1"/>
  </cols>
  <sheetData>
    <row r="1" spans="1:6" ht="21">
      <c r="A1" s="25" t="s">
        <v>272</v>
      </c>
      <c r="B1" s="22"/>
      <c r="C1" s="22"/>
      <c r="D1" s="22"/>
      <c r="E1" s="22"/>
      <c r="F1" s="22"/>
    </row>
    <row r="3" spans="1:6">
      <c r="A3" s="9" t="s">
        <v>273</v>
      </c>
      <c r="B3" s="9" t="s">
        <v>274</v>
      </c>
      <c r="C3" s="9" t="s">
        <v>275</v>
      </c>
    </row>
    <row r="4" spans="1:6" ht="30">
      <c r="A4" s="2" t="s">
        <v>276</v>
      </c>
      <c r="B4" s="2" t="s">
        <v>277</v>
      </c>
      <c r="C4" s="2" t="s">
        <v>278</v>
      </c>
    </row>
    <row r="5" spans="1:6">
      <c r="A5" s="2" t="s">
        <v>279</v>
      </c>
      <c r="B5" s="2" t="s">
        <v>9</v>
      </c>
      <c r="C5" s="2" t="s">
        <v>280</v>
      </c>
    </row>
    <row r="6" spans="1:6">
      <c r="A6" s="2" t="s">
        <v>281</v>
      </c>
      <c r="B6" s="2" t="s">
        <v>231</v>
      </c>
      <c r="C6" s="2" t="s">
        <v>282</v>
      </c>
    </row>
    <row r="7" spans="1:6">
      <c r="A7" s="2" t="s">
        <v>283</v>
      </c>
      <c r="B7" s="2" t="s">
        <v>284</v>
      </c>
      <c r="C7" s="2" t="s">
        <v>285</v>
      </c>
    </row>
    <row r="8" spans="1:6">
      <c r="A8" s="2" t="s">
        <v>286</v>
      </c>
      <c r="B8" s="2" t="s">
        <v>287</v>
      </c>
      <c r="C8" s="2" t="s">
        <v>288</v>
      </c>
    </row>
    <row r="9" spans="1:6">
      <c r="A9" s="2" t="s">
        <v>289</v>
      </c>
      <c r="B9" s="2" t="s">
        <v>290</v>
      </c>
      <c r="C9" s="2" t="s">
        <v>291</v>
      </c>
    </row>
    <row r="10" spans="1:6" ht="30">
      <c r="A10" s="2" t="s">
        <v>292</v>
      </c>
      <c r="B10" s="2" t="s">
        <v>293</v>
      </c>
      <c r="C10" s="2" t="s">
        <v>294</v>
      </c>
    </row>
  </sheetData>
  <mergeCells count="1">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13</vt:i4>
      </vt:variant>
      <vt:variant>
        <vt:lpstr>Intervalos nomeados</vt:lpstr>
      </vt:variant>
      <vt:variant>
        <vt:i4>1</vt:i4>
      </vt:variant>
    </vt:vector>
  </HeadingPairs>
  <TitlesOfParts>
    <vt:vector size="14" baseType="lpstr">
      <vt:lpstr>Português</vt:lpstr>
      <vt:lpstr>Raciocínio Lógico Matemático</vt:lpstr>
      <vt:lpstr>Legislação Aplicada à Ebserh</vt:lpstr>
      <vt:lpstr>Legislação Aplicada ao SUS</vt:lpstr>
      <vt:lpstr>Conhecimentos Específicos</vt:lpstr>
      <vt:lpstr>Edital Detalhado</vt:lpstr>
      <vt:lpstr>Linguagens Programação</vt:lpstr>
      <vt:lpstr>Estatística para Estudo Focado</vt:lpstr>
      <vt:lpstr>Plano de Estudo</vt:lpstr>
      <vt:lpstr>Controle</vt:lpstr>
      <vt:lpstr>Ciclo de Revisão</vt:lpstr>
      <vt:lpstr>Ciclo Semanal</vt:lpstr>
      <vt:lpstr>Como Usar</vt:lpstr>
      <vt:lpstr>'Plano de Estudo'!Titulos_de_impressao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CARLOS DA SILVA DIAS</cp:lastModifiedBy>
  <dcterms:created xsi:type="dcterms:W3CDTF">2026-09-17T18:06:43Z</dcterms:created>
  <dcterms:modified xsi:type="dcterms:W3CDTF">2026-09-18T18:11:56Z</dcterms:modified>
</cp:coreProperties>
</file>